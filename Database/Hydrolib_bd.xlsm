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3040" windowHeight="9060" activeTab="2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Capacitors" type="4" background="1" refreshedVersion="2" saveData="1">
    <webPr parsePre="1" consecutive="1" xl2000="1" sourceData="1" xml="1" url="D:\Sea_Jackal\Gidro\Pioneer\Boards\Libraries\Hydrolib\Database\xml\Capacitors.xml" htmlFormat="all" htmlTables="1"/>
  </connection>
  <connection id="2" name="Capacitors_ceramic" type="4" background="1" refreshedVersion="2" saveData="1">
    <webPr parsePre="1" consecutive="1" xl2000="1" sourceData="1" xml="1" url="D:\Sea_Jackal\Gidro\Pioneer\Boards\Libraries\Hydrolib\Database\xml\Capacitors_ceramic.xml" htmlFormat="all" htmlTables="1"/>
  </connection>
  <connection id="3" name="Capacitors_electrolytic" type="4" background="1" refreshedVersion="2" saveData="1">
    <webPr parsePre="1" consecutive="1" xl2000="1" sourceData="1" xml="1" url="D:\Sea_Jackal\Gidro\Pioneer\Boards\Libraries\Hydrolib\Database\xml\Capacitors_electrolytic.xml" htmlFormat="all" htmlTables="1"/>
  </connection>
  <connection id="4" name="Capicators" type="4" background="1" refreshedVersion="2" saveData="1">
    <webPr parsePre="1" consecutive="1" xl2000="1" sourceData="1" xml="1" url="C:\Users\1\Desktop\testlib\Готовое\Capicators.xml" htmlFormat="all" htmlTables="1"/>
  </connection>
  <connection id="5" name="Chips" type="4" background="1" refreshedVersion="2" saveData="1">
    <webPr parsePre="1" consecutive="1" xl2000="1" sourceData="1" xml="1" url="C:\Users\1\Desktop\testlib\Готовое\Chips.xml" htmlFormat="all" htmlTables="1"/>
  </connection>
  <connection id="6" name="Chips1" type="4" background="1" refreshedVersion="2" saveData="1">
    <webPr parsePre="1" consecutive="1" xl2000="1" sourceData="1" xml="1" url="C:\Users\1\Desktop\testlib\Готовое\Chips.xml" htmlFormat="all" htmlTables="1"/>
  </connection>
  <connection id="7" name="Connectors" type="4" background="1" refreshedVersion="2" saveData="1">
    <webPr parsePre="1" consecutive="1" xl2000="1" sourceData="1" xml="1" url="C:\Users\1\Desktop\testlib\Готовое\Connectors.xml" htmlFormat="all" htmlTables="1"/>
  </connection>
  <connection id="8" name="Inductance" type="4" background="1" refreshedVersion="2" saveData="1">
    <webPr parsePre="1" consecutive="1" xl2000="1" sourceData="1" xml="1" url="C:\Users\1\Desktop\Платы\manipulator1\Database\Inductance.xml" htmlFormat="all" htmlTables="1"/>
  </connection>
  <connection id="9" name="Inductance1" type="4" background="1" refreshedVersion="2" saveData="1">
    <webPr parsePre="1" consecutive="1" xl2000="1" sourceData="1" xml="1" url="C:\Users\1\Desktop\Платы\manipulator1\Database\xml\Inductance.xml" htmlFormat="all" htmlTables="1"/>
  </connection>
  <connection id="10" name="Other" type="4" background="1" refreshedVersion="2" saveData="1">
    <webPr parsePre="1" consecutive="1" xl2000="1" sourceData="1" xml="1" url="C:\Users\1\Desktop\testlib\Готовое\Other.xml" htmlFormat="all" htmlTables="1"/>
  </connection>
  <connection id="11" name="Other1" type="4" background="1" refreshedVersion="2" saveData="1">
    <webPr parsePre="1" consecutive="1" xl2000="1" sourceData="1" xml="1" url="C:\Users\1\Desktop\Other.xml" htmlFormat="all" htmlTables="1"/>
  </connection>
  <connection id="12" name="Resistors" type="4" background="1" refreshedVersion="2" saveData="1">
    <webPr parsePre="1" consecutive="1" xl2000="1" sourceData="1" xml="1" url="C:\Users\1\Desktop\testlib\Готовое\Resistors.xml" htmlFormat="all" htmlTables="1"/>
  </connection>
  <connection id="13" name="Resistors1" type="4" background="1" refreshedVersion="2" saveData="1">
    <webPr parsePre="1" consecutive="1" xl2000="1" sourceData="1" xml="1" url="D:\Sea_Jackal\Gidro\Pioneer\Boards\Libraries\Hydrolib\Database\xml\Resistors.xml" htmlFormat="all" htmlTables="1"/>
  </connection>
  <connection id="14" name="Schottky" type="4" background="1" refreshedVersion="2" saveData="1">
    <webPr parsePre="1" consecutive="1" xl2000="1" sourceData="1" xml="1" url="C:\Users\1\Desktop\Платы\manipulator1\Database\Schottky.xml" htmlFormat="all" htmlTables="1"/>
  </connection>
  <connection id="15" name="Transistors" type="4" background="1" refreshedVersion="2" saveData="1">
    <webPr parsePre="1" consecutive="1" xl2000="1" sourceData="1" xml="1" url="C:\Users\1\Desktop\testlib\Готовое\Transistors.xml" htmlFormat="all" htmlTables="1"/>
  </connection>
  <connection id="16" name="TVS" type="4" background="1" refreshedVersion="2" saveData="1">
    <webPr parsePre="1" consecutive="1" xl2000="1" sourceData="1" xml="1" url="C:\Users\1\Desktop\testlib\Готовое\TVS.xml" htmlFormat="all" htmlTables="1"/>
  </connection>
  <connection id="17" name="Zener" type="4" background="1" refreshedVersion="2" saveData="1">
    <webPr parsePre="1" consecutive="1" xl2000="1" sourceData="1" xml="1" url="D:\Sea_Jackal\Gidro\Pioneer\Boards\Libraries\Hydrolib\Database\xml\Zener.xml" htmlFormat="all" htmlTables="1"/>
  </connection>
</connections>
</file>

<file path=xl/sharedStrings.xml><?xml version="1.0" encoding="utf-8"?>
<sst xmlns="http://schemas.openxmlformats.org/spreadsheetml/2006/main" count="2887" uniqueCount="1168">
  <si>
    <t>Part Number</t>
  </si>
  <si>
    <t>Description</t>
  </si>
  <si>
    <t>Comment</t>
  </si>
  <si>
    <t>Library Path</t>
  </si>
  <si>
    <t>Library Ref</t>
  </si>
  <si>
    <t>Footprint Path 1</t>
  </si>
  <si>
    <t>Footprint Ref 1</t>
  </si>
  <si>
    <t>Footprint Path 2</t>
  </si>
  <si>
    <t>Footprint Ref 2</t>
  </si>
  <si>
    <t>Footprint Path 3</t>
  </si>
  <si>
    <t>Footprint Ref 3</t>
  </si>
  <si>
    <t>Datasheet</t>
  </si>
  <si>
    <t>STM32F407VGT6</t>
  </si>
  <si>
    <t>Микроконтроллер</t>
  </si>
  <si>
    <t>LQFP100</t>
  </si>
  <si>
    <t>USBLC6-4</t>
  </si>
  <si>
    <t>Сборка защитных диодов для USB</t>
  </si>
  <si>
    <t>SOT23-6</t>
  </si>
  <si>
    <t>MAX485CSA</t>
  </si>
  <si>
    <t>RS-485 приёмопередатчик</t>
  </si>
  <si>
    <t>SOIC-8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</si>
  <si>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</si>
  <si>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</si>
  <si>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</si>
  <si>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</si>
  <si>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</si>
  <si>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</si>
  <si>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</si>
  <si>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</si>
  <si>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</si>
  <si>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SOIC-16</t>
  </si>
  <si>
    <t>Footprints\DIP16.PcbLib</t>
  </si>
  <si>
    <t>DIP16_in_socket</t>
  </si>
  <si>
    <t>DIP16_in_socket_SMD</t>
  </si>
  <si>
    <t>ADM2483BRWZ</t>
  </si>
  <si>
    <t>Прием передатчик RS485 с гальванической развязкой</t>
  </si>
  <si>
    <t>SOIC-16W</t>
  </si>
  <si>
    <t>LD1117S50CTR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</si>
  <si>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</si>
  <si>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</si>
  <si>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</si>
  <si>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</si>
  <si>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</si>
  <si>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SC-70-5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</si>
  <si>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</si>
  <si>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</si>
  <si>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</si>
  <si>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</si>
  <si>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</si>
  <si>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</si>
  <si>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</si>
  <si>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</si>
  <si>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</si>
  <si>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</si>
  <si>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</si>
  <si>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</si>
  <si>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</si>
  <si>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</si>
  <si>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</si>
  <si>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</si>
  <si>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</si>
  <si>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</si>
  <si>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</si>
  <si>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</si>
  <si>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</si>
  <si>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VN7140AS</t>
  </si>
  <si>
    <t>Силовой ключ верхнего плеча с аналоговой обратной связью MultiSense автомобильного применения</t>
  </si>
  <si>
    <t>SOP8</t>
  </si>
  <si>
    <t>74HC4051PW,118</t>
  </si>
  <si>
    <t>Мультиплексор аналоговый 8 в 1 КМОП кристалл, TSSOP16</t>
  </si>
  <si>
    <t>TSSOP-16</t>
  </si>
  <si>
    <t>sim800l</t>
  </si>
  <si>
    <t>Четырехдиапазонный GSM/GPRS модуль, частоты: GSM 850 МГц, EGSM 900 МГц, DCS 1800 МГц и PCS 1900 МГц.</t>
  </si>
  <si>
    <t>74HC139D,653</t>
  </si>
  <si>
    <t>Два декодера (демультиплексора) 2 в 4 (1 в 4), вход и выходы с инверсией</t>
  </si>
  <si>
    <t>CD4555BM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</si>
  <si>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</si>
  <si>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</si>
  <si>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</si>
  <si>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</si>
  <si>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</si>
  <si>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MT3608</t>
  </si>
  <si>
    <t>Повышающий/SEPIC DC-DC преобразователь 2А 1.2МГц</t>
  </si>
  <si>
    <t>CD4013BE</t>
  </si>
  <si>
    <t>Два триггера D-типа</t>
  </si>
  <si>
    <t>Footprints\DIP14.PcbLib</t>
  </si>
  <si>
    <t>DIP14_IN_SOCKET</t>
  </si>
  <si>
    <t>DIP14_IN_SOCKET_SMD</t>
  </si>
  <si>
    <t>STM32F103C8T6_board</t>
  </si>
  <si>
    <t>blue pill</t>
  </si>
  <si>
    <t>RPI</t>
  </si>
  <si>
    <t>Одноплатный компьютер Raspberry PI 4B</t>
  </si>
  <si>
    <t>LTC4418</t>
  </si>
  <si>
    <t>Переключатель питания</t>
  </si>
  <si>
    <t>QFN50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</si>
  <si>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</si>
  <si>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</si>
  <si>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</si>
  <si>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</si>
  <si>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LD7575</t>
  </si>
  <si>
    <t>Высоковольтный ШИМ-контроллер со схемой мягкого запуска</t>
  </si>
  <si>
    <t>MAX668</t>
  </si>
  <si>
    <t>Boost, Flyback, SEPIC преобразователь. 10-uMAX/uSOP</t>
  </si>
  <si>
    <t>uSOP10</t>
  </si>
  <si>
    <t>LTV354T</t>
  </si>
  <si>
    <t>Оптопара с транзисторным выходом, UMW</t>
  </si>
  <si>
    <t>LTV354</t>
  </si>
  <si>
    <t>SOP4-2_54</t>
  </si>
  <si>
    <t>SN74LVC1G14DCKR</t>
  </si>
  <si>
    <t>Одноканальный инвертор с триггером Шмитта</t>
  </si>
  <si>
    <t>LM339D</t>
  </si>
  <si>
    <t>4 компаратора</t>
  </si>
  <si>
    <t>Schematic\Comporators\LM339D.SchLib</t>
  </si>
  <si>
    <t>Footprints\Comporators\SOIC127P600X175-14N.PcbLib</t>
  </si>
  <si>
    <t>SOIC127P600X175-14N</t>
  </si>
  <si>
    <t>Voltage nominal (V)</t>
  </si>
  <si>
    <t>Current (A)</t>
  </si>
  <si>
    <t>SK33</t>
  </si>
  <si>
    <t>Schematic\Schottky_diode.schLib</t>
  </si>
  <si>
    <t>Schottky_diode</t>
  </si>
  <si>
    <t>SMC</t>
  </si>
  <si>
    <t>SK32</t>
  </si>
  <si>
    <t>20</t>
  </si>
  <si>
    <t>BAT54WS</t>
  </si>
  <si>
    <t>SOD-323</t>
  </si>
  <si>
    <t>0.2</t>
  </si>
  <si>
    <t>10S45SP</t>
  </si>
  <si>
    <t>TO-277</t>
  </si>
  <si>
    <t>SK810</t>
  </si>
  <si>
    <t>15MQ040N</t>
  </si>
  <si>
    <t>SMA</t>
  </si>
  <si>
    <t>2.1</t>
  </si>
  <si>
    <t>BAS70-04-7-F</t>
  </si>
  <si>
    <t>Schematic\BAS70-04-7-F.schLib</t>
  </si>
  <si>
    <t>SOT23</t>
  </si>
  <si>
    <t>0,7</t>
  </si>
  <si>
    <t>SK56</t>
  </si>
  <si>
    <t>SK54</t>
  </si>
  <si>
    <t>B550C</t>
  </si>
  <si>
    <t>Current nominal (mA)</t>
  </si>
  <si>
    <t>Power (W)</t>
  </si>
  <si>
    <t>Value</t>
  </si>
  <si>
    <t>Accuracy</t>
  </si>
  <si>
    <t>BZX384-C12</t>
  </si>
  <si>
    <t>Стабилитрон на 12 В, рассеиваемая мощность 0.3 Вт</t>
  </si>
  <si>
    <t>Schematic\Zener.SchLib</t>
  </si>
  <si>
    <t>Zener</t>
  </si>
  <si>
    <t>Footprints\SOD-323.PcbLib</t>
  </si>
  <si>
    <t>12</t>
  </si>
  <si>
    <t>5</t>
  </si>
  <si>
    <t>0.3</t>
  </si>
  <si>
    <t>12 В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</si>
  <si>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</si>
  <si>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</si>
  <si>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</si>
  <si>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</si>
  <si>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</si>
  <si>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0.5</t>
  </si>
  <si>
    <t>2.4 В</t>
  </si>
  <si>
    <t>BZX84-B11</t>
  </si>
  <si>
    <t>Стабилитрон на 11 В, рассеиваемая мощность 0.25 Вт</t>
  </si>
  <si>
    <t>Schematic\Zener_3pin.SchLib</t>
  </si>
  <si>
    <t>Zener_3pin</t>
  </si>
  <si>
    <t>Footprints\SOT23-3.PcbLib</t>
  </si>
  <si>
    <t>SOT23-3</t>
  </si>
  <si>
    <t>11</t>
  </si>
  <si>
    <t>0.25</t>
  </si>
  <si>
    <t>11 В</t>
  </si>
  <si>
    <t>BZV55-B12</t>
  </si>
  <si>
    <t>Стабилитрон 12В, 5%, 0.5Вт</t>
  </si>
  <si>
    <t>1N4740A</t>
  </si>
  <si>
    <t>диод Зенера 10 В</t>
  </si>
  <si>
    <t>Schematic\ZenerDiods\1N4740A.SchLib</t>
  </si>
  <si>
    <t>Footprints\ZenerDiods\DIOAD1060W70L435D230.PcbLib</t>
  </si>
  <si>
    <t>DIOAD1060W70L435D230</t>
  </si>
  <si>
    <t>10 В</t>
  </si>
  <si>
    <t>Interface</t>
  </si>
  <si>
    <t>SMBJ24A</t>
  </si>
  <si>
    <t>TVS_1_1dir</t>
  </si>
  <si>
    <t>SMB</t>
  </si>
  <si>
    <t>PSM712</t>
  </si>
  <si>
    <t>TVS_2_2dir</t>
  </si>
  <si>
    <t>RS-485</t>
  </si>
  <si>
    <t>SMAJ12CA</t>
  </si>
  <si>
    <t>SMBJ18A</t>
  </si>
  <si>
    <t>PESD5V0S1UB</t>
  </si>
  <si>
    <t>SOD523</t>
  </si>
  <si>
    <t>SMBJ15A</t>
  </si>
  <si>
    <t>SMBJ13A-TR</t>
  </si>
  <si>
    <t>SM15T33A</t>
  </si>
  <si>
    <t>Напряжение С-И/К-Э</t>
  </si>
  <si>
    <t xml:space="preserve">Ток макс. </t>
  </si>
  <si>
    <t>50N06</t>
  </si>
  <si>
    <t>N-канальный MOSFET</t>
  </si>
  <si>
    <t>Schematic\MOSFET N-channel.SchLib</t>
  </si>
  <si>
    <t>MOSFET N-channel 1</t>
  </si>
  <si>
    <t>DPAK</t>
  </si>
  <si>
    <t>DPAK_termopad</t>
  </si>
  <si>
    <t>60 В</t>
  </si>
  <si>
    <t>50 А</t>
  </si>
  <si>
    <t>100N03A</t>
  </si>
  <si>
    <t>30 В</t>
  </si>
  <si>
    <t>90 А</t>
  </si>
  <si>
    <t>AO3400A</t>
  </si>
  <si>
    <t>MOSFET N-channel 2</t>
  </si>
  <si>
    <t>AO3401A</t>
  </si>
  <si>
    <t>P-канальный MOSFET</t>
  </si>
  <si>
    <t>Schematic\MOSFET P-channel.SchLib</t>
  </si>
  <si>
    <t>MOSFET P-channel 2</t>
  </si>
  <si>
    <t>SUD50P06-15</t>
  </si>
  <si>
    <t>MOSFET P-channel 1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</si>
  <si>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</si>
  <si>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</si>
  <si>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</si>
  <si>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</si>
  <si>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</si>
  <si>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</si>
  <si>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6.9 А</t>
  </si>
  <si>
    <t>bc807</t>
  </si>
  <si>
    <t>Биполярный транзистор PNP 45В 0.5А 0.31Вт</t>
  </si>
  <si>
    <t>Schematic\pnp.SchLib</t>
  </si>
  <si>
    <t>pnp</t>
  </si>
  <si>
    <t>45 В</t>
  </si>
  <si>
    <t>0.5 А</t>
  </si>
  <si>
    <t>AUIRF1405ZSTRL</t>
  </si>
  <si>
    <t>Транзистор полевой MOSFET N-канальный 55В 75А 330Вт</t>
  </si>
  <si>
    <t>D2PAK</t>
  </si>
  <si>
    <t>55 В</t>
  </si>
  <si>
    <t>75 А</t>
  </si>
  <si>
    <t>Tolerance</t>
  </si>
  <si>
    <t>Resistor_1.0_1_0603</t>
  </si>
  <si>
    <t>Резистор номиналом 1,0 Ом и точностью 1%</t>
  </si>
  <si>
    <t>Resistor</t>
  </si>
  <si>
    <t>Schematic\Resistor.SchLib</t>
  </si>
  <si>
    <t>1,0</t>
  </si>
  <si>
    <t>1%</t>
  </si>
  <si>
    <t>Footprints/Resistors/0603R.PcbLib</t>
  </si>
  <si>
    <t>0603R</t>
  </si>
  <si>
    <t>Resistor_1.1_1_0603</t>
  </si>
  <si>
    <t>Резистор номиналом 1,1 Ом и точностью 1%</t>
  </si>
  <si>
    <t>1,1</t>
  </si>
  <si>
    <t>Resistor_1.2_1_0603</t>
  </si>
  <si>
    <t>Резистор номиналом 1,2 Ом и точностью 1%</t>
  </si>
  <si>
    <t>1,2</t>
  </si>
  <si>
    <t>Resistor_1.3_1_0603</t>
  </si>
  <si>
    <t>Резистор номиналом 1,3 Ом и точностью 1%</t>
  </si>
  <si>
    <t>1,3</t>
  </si>
  <si>
    <t>Resistor_1.5_1_0603</t>
  </si>
  <si>
    <t>Резистор номиналом 1,5 Ом и точностью 1%</t>
  </si>
  <si>
    <t>1,5</t>
  </si>
  <si>
    <t>Resistor_1.6_1_0603</t>
  </si>
  <si>
    <t>Резистор номиналом 1,6 Ом и точностью 1%</t>
  </si>
  <si>
    <t>1,6</t>
  </si>
  <si>
    <t>Resistor_1.8_1_0603</t>
  </si>
  <si>
    <t>Резистор номиналом 1,8 Ом и точностью 1%</t>
  </si>
  <si>
    <t>1,8</t>
  </si>
  <si>
    <t>Resistor_2.0_1_0603</t>
  </si>
  <si>
    <t>Резистор номиналом 2,0 Ом и точностью 1%</t>
  </si>
  <si>
    <t>2,0</t>
  </si>
  <si>
    <t>Resistor_2.2_1_0603</t>
  </si>
  <si>
    <t>Резистор номиналом 2,2 Ом и точностью 1%</t>
  </si>
  <si>
    <t>2,2</t>
  </si>
  <si>
    <t>Resistor_2.4_1_0603</t>
  </si>
  <si>
    <t>Резистор номиналом 2,4 Ом и точностью 1%</t>
  </si>
  <si>
    <t>2,4</t>
  </si>
  <si>
    <t>Resistor_2.7_1_0603</t>
  </si>
  <si>
    <t>Резистор номиналом 2,7 Ом и точностью 1%</t>
  </si>
  <si>
    <t>2,7</t>
  </si>
  <si>
    <t>Resistor_3.0_1_0603</t>
  </si>
  <si>
    <t>Резистор номиналом 3,0 Ом и точностью 1%</t>
  </si>
  <si>
    <t>3,0</t>
  </si>
  <si>
    <t>Resistor_3.3_1_0603</t>
  </si>
  <si>
    <t>Резистор номиналом 3,3 Ом и точностью 1%</t>
  </si>
  <si>
    <t>3,3</t>
  </si>
  <si>
    <t>Resistor_3.6_1_0603</t>
  </si>
  <si>
    <t>Резистор номиналом 3,6 Ом и точностью 1%</t>
  </si>
  <si>
    <t>3,6</t>
  </si>
  <si>
    <t>Resistor_3.9_1_0603</t>
  </si>
  <si>
    <t>Резистор номиналом 3,9 Ом и точностью 1%</t>
  </si>
  <si>
    <t>3,9</t>
  </si>
  <si>
    <t>Resistor_4.3_1_0603</t>
  </si>
  <si>
    <t>Резистор номиналом 4,3 Ом и точностью 1%</t>
  </si>
  <si>
    <t>4,3</t>
  </si>
  <si>
    <t>Resistor_4.7_1_0603</t>
  </si>
  <si>
    <t>Резистор номиналом 4,7 Ом и точностью 1%</t>
  </si>
  <si>
    <t>4,7</t>
  </si>
  <si>
    <t>Resistor_5.1_1_0603</t>
  </si>
  <si>
    <t>Резистор номиналом 5,1 Ом и точностью 1%</t>
  </si>
  <si>
    <t>5,1</t>
  </si>
  <si>
    <t>Resistor_5.6_1_0603</t>
  </si>
  <si>
    <t>Резистор номиналом 5,6 Ом и точностью 1%</t>
  </si>
  <si>
    <t>5,6</t>
  </si>
  <si>
    <t>Resistor_6.2_1_0603</t>
  </si>
  <si>
    <t>Резистор номиналом 6,2 Ом и точностью 1%</t>
  </si>
  <si>
    <t>6,2</t>
  </si>
  <si>
    <t>Resistor_6.8_1_0603</t>
  </si>
  <si>
    <t>Резистор номиналом 6,8 Ом и точностью 1%</t>
  </si>
  <si>
    <t>6,8</t>
  </si>
  <si>
    <t>Resistor_7.5_1_0603</t>
  </si>
  <si>
    <t>Резистор номиналом 7,5 Ом и точностью 1%</t>
  </si>
  <si>
    <t>7,5</t>
  </si>
  <si>
    <t>Resistor_8.2_1_0603</t>
  </si>
  <si>
    <t>Резистор номиналом 8,2 Ом и точностью 1%</t>
  </si>
  <si>
    <t>8,2</t>
  </si>
  <si>
    <t>Resistor_9.1_1_0603</t>
  </si>
  <si>
    <t>Резистор номиналом 9,1 Ом и точностью 1%</t>
  </si>
  <si>
    <t>9,1</t>
  </si>
  <si>
    <t>Resistor_10_1_0603</t>
  </si>
  <si>
    <t>Резистор номиналом 10 Ом и точностью 1%</t>
  </si>
  <si>
    <t>10</t>
  </si>
  <si>
    <t>Resistor_11_1_0603</t>
  </si>
  <si>
    <t>Резистор номиналом 11 Ом и точностью 1%</t>
  </si>
  <si>
    <t>Resistor_12_1_0603</t>
  </si>
  <si>
    <t>Резистор номиналом 12 Ом и точностью 1%</t>
  </si>
  <si>
    <t>Resistor_13_1_0603</t>
  </si>
  <si>
    <t>Резистор номиналом 13 Ом и точностью 1%</t>
  </si>
  <si>
    <t>13</t>
  </si>
  <si>
    <t>Resistor_15_1_0603</t>
  </si>
  <si>
    <t>Резистор номиналом 15 Ом и точностью 1%</t>
  </si>
  <si>
    <t>15</t>
  </si>
  <si>
    <t>Resistor_16_1_0603</t>
  </si>
  <si>
    <t>Резистор номиналом 16 Ом и точностью 1%</t>
  </si>
  <si>
    <t>16</t>
  </si>
  <si>
    <t>Resistor_18_1_0603</t>
  </si>
  <si>
    <t>Резистор номиналом 18 Ом и точностью 1%</t>
  </si>
  <si>
    <t>18</t>
  </si>
  <si>
    <t>Resistor_20_1_0603</t>
  </si>
  <si>
    <t>Резистор номиналом 20 Ом и точностью 1%</t>
  </si>
  <si>
    <t>Resistor_22_1_0603</t>
  </si>
  <si>
    <t>Резистор номиналом 22 Ом и точностью 1%</t>
  </si>
  <si>
    <t>22</t>
  </si>
  <si>
    <t>Resistor_24_1_0603</t>
  </si>
  <si>
    <t>Резистор номиналом 24 Ом и точностью 1%</t>
  </si>
  <si>
    <t>24</t>
  </si>
  <si>
    <t>Resistor_27_1_0603</t>
  </si>
  <si>
    <t>Резистор номиналом 27 Ом и точностью 1%</t>
  </si>
  <si>
    <t>27</t>
  </si>
  <si>
    <t>Resistor_30_1_0603</t>
  </si>
  <si>
    <t>Резистор номиналом 30 Ом и точностью 1%</t>
  </si>
  <si>
    <t>30</t>
  </si>
  <si>
    <t>Resistor_33_1_0603</t>
  </si>
  <si>
    <t>Резистор номиналом 33 Ом и точностью 1%</t>
  </si>
  <si>
    <t>33</t>
  </si>
  <si>
    <t>Resistor_36_1_0603</t>
  </si>
  <si>
    <t>Резистор номиналом 36 Ом и точностью 1%</t>
  </si>
  <si>
    <t>36</t>
  </si>
  <si>
    <t>Resistor_39_1_0603</t>
  </si>
  <si>
    <t>Резистор номиналом 39 Ом и точностью 1%</t>
  </si>
  <si>
    <t>39</t>
  </si>
  <si>
    <t>Resistor_43_1_0603</t>
  </si>
  <si>
    <t>Резистор номиналом 43 Ом и точностью 1%</t>
  </si>
  <si>
    <t>43</t>
  </si>
  <si>
    <t>Resistor_47_1_0603</t>
  </si>
  <si>
    <t>Резистор номиналом 47 Ом и точностью 1%</t>
  </si>
  <si>
    <t>47</t>
  </si>
  <si>
    <t>Resistor_51_1_0603</t>
  </si>
  <si>
    <t>Резистор номиналом 51 Ом и точностью 1%</t>
  </si>
  <si>
    <t>51</t>
  </si>
  <si>
    <t>Resistor_56_1_0603</t>
  </si>
  <si>
    <t>Резистор номиналом 56 Ом и точностью 1%</t>
  </si>
  <si>
    <t>56</t>
  </si>
  <si>
    <t>Resistor_62_1_0603</t>
  </si>
  <si>
    <t>Резистор номиналом 62 Ом и точностью 1%</t>
  </si>
  <si>
    <t>62</t>
  </si>
  <si>
    <t>Resistor_68_1_0603</t>
  </si>
  <si>
    <t>Резистор номиналом 68 Ом и точностью 1%</t>
  </si>
  <si>
    <t>68</t>
  </si>
  <si>
    <t>Resistor_75_1_0603</t>
  </si>
  <si>
    <t>Резистор номиналом 75 Ом и точностью 1%</t>
  </si>
  <si>
    <t>75</t>
  </si>
  <si>
    <t>Resistor_82_1_0603</t>
  </si>
  <si>
    <t>Резистор номиналом 82 Ом и точностью 1%</t>
  </si>
  <si>
    <t>82</t>
  </si>
  <si>
    <t>Resistor_91_1_0603</t>
  </si>
  <si>
    <t>Резистор номиналом 91 Ом и точностью 1%</t>
  </si>
  <si>
    <t>91</t>
  </si>
  <si>
    <t>Resistor_100_1_0603</t>
  </si>
  <si>
    <t>Резистор номиналом 100 Ом и точностью 1%</t>
  </si>
  <si>
    <t>100</t>
  </si>
  <si>
    <t>Resistor_110_1_0603</t>
  </si>
  <si>
    <t>Резистор номиналом 110 Ом и точностью 1%</t>
  </si>
  <si>
    <t>110</t>
  </si>
  <si>
    <t>Resistor_120_1_0603</t>
  </si>
  <si>
    <t>Резистор номиналом 120 Ом и точностью 1%</t>
  </si>
  <si>
    <t>120</t>
  </si>
  <si>
    <t>Footprints/Resistors/1206R.PcbLib</t>
  </si>
  <si>
    <t>1206R</t>
  </si>
  <si>
    <t>Resistor_130_1_0603</t>
  </si>
  <si>
    <t>Резистор номиналом 130 Ом и точностью 1%</t>
  </si>
  <si>
    <t>130</t>
  </si>
  <si>
    <t>Resistor_150_1_0603</t>
  </si>
  <si>
    <t>Резистор номиналом 150 Ом и точностью 1%</t>
  </si>
  <si>
    <t>150</t>
  </si>
  <si>
    <t>Resistor_160_1_0603</t>
  </si>
  <si>
    <t>Резистор номиналом 160 Ом и точностью 1%</t>
  </si>
  <si>
    <t>160</t>
  </si>
  <si>
    <t>Resistor_180_1_0603</t>
  </si>
  <si>
    <t>Резистор номиналом 180 Ом и точностью 1%</t>
  </si>
  <si>
    <t>180</t>
  </si>
  <si>
    <t>Resistor_200_1_0603</t>
  </si>
  <si>
    <t>Резистор номиналом 200 Ом и точностью 1%</t>
  </si>
  <si>
    <t>200</t>
  </si>
  <si>
    <t>Resistor_220_1_0603</t>
  </si>
  <si>
    <t>Резистор номиналом 220 Ом и точностью 1%</t>
  </si>
  <si>
    <t>220</t>
  </si>
  <si>
    <t>Resistor_240_1_0603</t>
  </si>
  <si>
    <t>Резистор номиналом 240 Ом и точностью 1%</t>
  </si>
  <si>
    <t>240</t>
  </si>
  <si>
    <t>Resistor_270_1_0603</t>
  </si>
  <si>
    <t>Резистор номиналом 270 Ом и точностью 1%</t>
  </si>
  <si>
    <t>270</t>
  </si>
  <si>
    <t>Resistor_300_1_0603</t>
  </si>
  <si>
    <t>Резистор номиналом 300 Ом и точностью 1%</t>
  </si>
  <si>
    <t>300</t>
  </si>
  <si>
    <t>Resistor_330_1_0603</t>
  </si>
  <si>
    <t>Резистор номиналом 330 Ом и точностью 1%</t>
  </si>
  <si>
    <t>330</t>
  </si>
  <si>
    <t>Resistor_360_1_0603</t>
  </si>
  <si>
    <t>Резистор номиналом 360 Ом и точностью 1%</t>
  </si>
  <si>
    <t>360</t>
  </si>
  <si>
    <t>Resistor_390_1_0603</t>
  </si>
  <si>
    <t>Резистор номиналом 390 Ом и точностью 1%</t>
  </si>
  <si>
    <t>390</t>
  </si>
  <si>
    <t>Resistor_430_1_0603</t>
  </si>
  <si>
    <t>Резистор номиналом 430 Ом и точностью 1%</t>
  </si>
  <si>
    <t>430</t>
  </si>
  <si>
    <t>Resistor_470_1_0603</t>
  </si>
  <si>
    <t>Резистор номиналом 470 Ом и точностью 1%</t>
  </si>
  <si>
    <t>470</t>
  </si>
  <si>
    <t>Resistor_510_1_0603</t>
  </si>
  <si>
    <t>Резистор номиналом 510 Ом и точностью 1%</t>
  </si>
  <si>
    <t>510</t>
  </si>
  <si>
    <t>Footprints/Resistors/2512R.PcbLib</t>
  </si>
  <si>
    <t>2512R</t>
  </si>
  <si>
    <t>Resistor_560_1_0603</t>
  </si>
  <si>
    <t>Резистор номиналом 560 Ом и точностью 1%</t>
  </si>
  <si>
    <t>560</t>
  </si>
  <si>
    <t>Resistor_620_1_0603</t>
  </si>
  <si>
    <t>Резистор номиналом 620 Ом и точностью 1%</t>
  </si>
  <si>
    <t>620</t>
  </si>
  <si>
    <t>Resistor_680_1_0603</t>
  </si>
  <si>
    <t>Резистор номиналом 680 Ом и точностью 1%</t>
  </si>
  <si>
    <t>680</t>
  </si>
  <si>
    <t>Resistor_750_1_0603</t>
  </si>
  <si>
    <t>Резистор номиналом 750 Ом и точностью 1%</t>
  </si>
  <si>
    <t>750</t>
  </si>
  <si>
    <t>Resistor_820_1_0603</t>
  </si>
  <si>
    <t>Резистор номиналом 820 Ом и точностью 1%</t>
  </si>
  <si>
    <t>820</t>
  </si>
  <si>
    <t>Resistor_910_1_0603</t>
  </si>
  <si>
    <t>Резистор номиналом 910 Ом и точностью 1%</t>
  </si>
  <si>
    <t>910</t>
  </si>
  <si>
    <t>Resistor_1.0k_1_0603</t>
  </si>
  <si>
    <t>Резистор номиналом 1,0 кОм и точностью 1%</t>
  </si>
  <si>
    <t>1,0 к</t>
  </si>
  <si>
    <t>Resistor_1.1k_1_0603</t>
  </si>
  <si>
    <t>Резистор номиналом 1,1 кОм и точностью 1%</t>
  </si>
  <si>
    <t>1,1 к</t>
  </si>
  <si>
    <t>Resistor_1.2k_1_0603</t>
  </si>
  <si>
    <t>Резистор номиналом 1,2 кОм и точностью 1%</t>
  </si>
  <si>
    <t>1,2 к</t>
  </si>
  <si>
    <t>Resistor_1.3k_1_0603</t>
  </si>
  <si>
    <t>Резистор номиналом 1,3 кОм и точностью 1%</t>
  </si>
  <si>
    <t>1,3 к</t>
  </si>
  <si>
    <t>Resistor_1.5k_1_0603</t>
  </si>
  <si>
    <t>Резистор номиналом 1,5 кОм и точностью 1%</t>
  </si>
  <si>
    <t>1,5 к</t>
  </si>
  <si>
    <t>Resistor_1.6k_1_0603</t>
  </si>
  <si>
    <t>Резистор номиналом 1,6 кОм и точностью 1%</t>
  </si>
  <si>
    <t>1,6 к</t>
  </si>
  <si>
    <t>Resistor_1.8k_1_0603</t>
  </si>
  <si>
    <t>Резистор номиналом 1,8 кОм и точностью 1%</t>
  </si>
  <si>
    <t>1,8 к</t>
  </si>
  <si>
    <t>Resistor_2.0k_1_0603</t>
  </si>
  <si>
    <t>Резистор номиналом 2,0 кОм и точностью 1%</t>
  </si>
  <si>
    <t>2,0 к</t>
  </si>
  <si>
    <t>Resistor_2.2k_1_0603</t>
  </si>
  <si>
    <t>Резистор номиналом 2,2 кОм и точностью 1%</t>
  </si>
  <si>
    <t>2,2 к</t>
  </si>
  <si>
    <t>Resistor_2.4k_1_0603</t>
  </si>
  <si>
    <t>Резистор номиналом 2,4 кОм и точностью 1%</t>
  </si>
  <si>
    <t>2,4 к</t>
  </si>
  <si>
    <t>Resistor_2.7k_1_0603</t>
  </si>
  <si>
    <t>Резистор номиналом 2,7 кОм и точностью 1%</t>
  </si>
  <si>
    <t>2,7 к</t>
  </si>
  <si>
    <t>Resistor_3.0k_1_0603</t>
  </si>
  <si>
    <t>Резистор номиналом 3,0 кОм и точностью 1%</t>
  </si>
  <si>
    <t>3,0 к</t>
  </si>
  <si>
    <t>Resistor_3.3k_1_0603</t>
  </si>
  <si>
    <t>Резистор номиналом 3,3 кОм и точностью 1%</t>
  </si>
  <si>
    <t>3,3 к</t>
  </si>
  <si>
    <t>Resistor_3.6k_1_0603</t>
  </si>
  <si>
    <t>Резистор номиналом 3,6 кОм и точностью 1%</t>
  </si>
  <si>
    <t>3,6 к</t>
  </si>
  <si>
    <t>Resistor_3.9k_1_0603</t>
  </si>
  <si>
    <t>Резистор номиналом 3,9 кОм и точностью 1%</t>
  </si>
  <si>
    <t>3,9 к</t>
  </si>
  <si>
    <t>Resistor_4.3k_1_0603</t>
  </si>
  <si>
    <t>Резистор номиналом 4,3 кОм и точностью 1%</t>
  </si>
  <si>
    <t>4,3 к</t>
  </si>
  <si>
    <t>Resistor_4.7k_1_0603</t>
  </si>
  <si>
    <t>Резистор номиналом 4,7 кОм и точностью 1%</t>
  </si>
  <si>
    <t>4,7 к</t>
  </si>
  <si>
    <t>Resistor_5.1k_1_0603</t>
  </si>
  <si>
    <t>Резистор номиналом 5,1 кОм и точностью 1%</t>
  </si>
  <si>
    <t>5,1 к</t>
  </si>
  <si>
    <t>Resistor_5.6k_1_0603</t>
  </si>
  <si>
    <t>Резистор номиналом 5,6 кОм и точностью 1%</t>
  </si>
  <si>
    <t>5,6 к</t>
  </si>
  <si>
    <t>Resistor_6.2k_1_0603</t>
  </si>
  <si>
    <t>Резистор номиналом 6,2 кОм и точностью 1%</t>
  </si>
  <si>
    <t>6,2 к</t>
  </si>
  <si>
    <t>Resistor_6.8k_1_0603</t>
  </si>
  <si>
    <t>Резистор номиналом 6,8 кОм и точностью 1%</t>
  </si>
  <si>
    <t>6,8 к</t>
  </si>
  <si>
    <t>Resistor_7.5k_1_0603</t>
  </si>
  <si>
    <t>Резистор номиналом 7,5 кОм и точностью 1%</t>
  </si>
  <si>
    <t>7,5 к</t>
  </si>
  <si>
    <t>Resistor_8.2k_1_0603</t>
  </si>
  <si>
    <t>Резистор номиналом 8,2 кОм и точностью 1%</t>
  </si>
  <si>
    <t>8,2 к</t>
  </si>
  <si>
    <t>Resistor_9.1k_1_0603</t>
  </si>
  <si>
    <t>Резистор номиналом 9,1 кОм и точностью 1%</t>
  </si>
  <si>
    <t>9,1 к</t>
  </si>
  <si>
    <t>Resistor_10k_1_0603</t>
  </si>
  <si>
    <t>Резистор номиналом 10 кОм и точностью 1%</t>
  </si>
  <si>
    <t>10 к</t>
  </si>
  <si>
    <t>Resistor_11k_1_0603</t>
  </si>
  <si>
    <t>Резистор номиналом 11 кОм и точностью 1%</t>
  </si>
  <si>
    <t>11 к</t>
  </si>
  <si>
    <t>Resistor_12k_1_0603</t>
  </si>
  <si>
    <t>Резистор номиналом 12 кОм и точностью 1%</t>
  </si>
  <si>
    <t>12 к</t>
  </si>
  <si>
    <t>Resistor_13k_1_0603</t>
  </si>
  <si>
    <t>Резистор номиналом 13 кОм и точностью 1%</t>
  </si>
  <si>
    <t>13 к</t>
  </si>
  <si>
    <t>Resistor_15k_1_0603</t>
  </si>
  <si>
    <t>Резистор номиналом 15 кОм и точностью 1%</t>
  </si>
  <si>
    <t>15 к</t>
  </si>
  <si>
    <t>Resistor_16k_1_0603</t>
  </si>
  <si>
    <t>Резистор номиналом 16 кОм и точностью 1%</t>
  </si>
  <si>
    <t>16 к</t>
  </si>
  <si>
    <t>Resistor_18k_1_0603</t>
  </si>
  <si>
    <t>Резистор номиналом 18 кОм и точностью 1%</t>
  </si>
  <si>
    <t>18 к</t>
  </si>
  <si>
    <t>Resistor_20k_1_0603</t>
  </si>
  <si>
    <t>Резистор номиналом 20 кОм и точностью 1%</t>
  </si>
  <si>
    <t>20 к</t>
  </si>
  <si>
    <t>Resistor_22k_1_0603</t>
  </si>
  <si>
    <t>Резистор номиналом 22 кОм и точностью 1%</t>
  </si>
  <si>
    <t>22 к</t>
  </si>
  <si>
    <t>Resistor_24k_1_0603</t>
  </si>
  <si>
    <t>Резистор номиналом 24 кОм и точностью 1%</t>
  </si>
  <si>
    <t>24 к</t>
  </si>
  <si>
    <t>Resistor_27k_1_0603</t>
  </si>
  <si>
    <t>Резистор номиналом 27 кОм и точностью 1%</t>
  </si>
  <si>
    <t>27 к</t>
  </si>
  <si>
    <t>Resistor_30k_1_0603</t>
  </si>
  <si>
    <t>Резистор номиналом 30 кОм и точностью 1%</t>
  </si>
  <si>
    <t>30 к</t>
  </si>
  <si>
    <t>Resistor_31.6k_1_0603</t>
  </si>
  <si>
    <t>Резистор номиналом 31,6 кОм и точностью 1%</t>
  </si>
  <si>
    <t>31,6 к</t>
  </si>
  <si>
    <t>Resistor_33k_1_0603</t>
  </si>
  <si>
    <t>Резистор номиналом 33 кОм и точностью 1%</t>
  </si>
  <si>
    <t>33 к</t>
  </si>
  <si>
    <t>Resistor_36k_1_0603</t>
  </si>
  <si>
    <t>Резистор номиналом 36 кОм и точностью 1%</t>
  </si>
  <si>
    <t>36 к</t>
  </si>
  <si>
    <t>Resistor_39k_1_0603</t>
  </si>
  <si>
    <t>Резистор номиналом 39 кОм и точностью 1%</t>
  </si>
  <si>
    <t>39 к</t>
  </si>
  <si>
    <t>Resistor_43k_1_0603</t>
  </si>
  <si>
    <t>Резистор номиналом 43 кОм и точностью 1%</t>
  </si>
  <si>
    <t>43 к</t>
  </si>
  <si>
    <t>Resistor_47k_1_0603</t>
  </si>
  <si>
    <t>Резистор номиналом 47 кОм и точностью 1%</t>
  </si>
  <si>
    <t>47 к</t>
  </si>
  <si>
    <t>Resistor_51k_1_0603</t>
  </si>
  <si>
    <t>Резистор номиналом 51 кОм и точностью 1%</t>
  </si>
  <si>
    <t>51 к</t>
  </si>
  <si>
    <t>Resistor_56k_1_0603</t>
  </si>
  <si>
    <t>Резистор номиналом 56 кОм и точностью 1%</t>
  </si>
  <si>
    <t>56 к</t>
  </si>
  <si>
    <t>Resistor_62k_1_0603</t>
  </si>
  <si>
    <t>Резистор номиналом 62 кОм и точностью 1%</t>
  </si>
  <si>
    <t>62 к</t>
  </si>
  <si>
    <t>Resistor_68k_1_0603</t>
  </si>
  <si>
    <t>Резистор номиналом 68 кОм и точностью 1%</t>
  </si>
  <si>
    <t>68 к</t>
  </si>
  <si>
    <t>Resistor_75k_1_0603</t>
  </si>
  <si>
    <t>Резистор номиналом 75 кОм и точностью 1%</t>
  </si>
  <si>
    <t>75 к</t>
  </si>
  <si>
    <t>Resistor_82k_1_0603</t>
  </si>
  <si>
    <t>Резистор номиналом 82 кОм и точностью 1%</t>
  </si>
  <si>
    <t>82 к</t>
  </si>
  <si>
    <t>Resistor_91k_1_0603</t>
  </si>
  <si>
    <t>Резистор номиналом 91 кОм и точностью 1%</t>
  </si>
  <si>
    <t>91 к</t>
  </si>
  <si>
    <t>Resistor_100k_1_0603</t>
  </si>
  <si>
    <t>Резистор номиналом 100 кОм и точностью 1%</t>
  </si>
  <si>
    <t>100 к</t>
  </si>
  <si>
    <t>Resistor_110k_1_0603</t>
  </si>
  <si>
    <t>Резистор номиналом 110 кОм и точностью 1%</t>
  </si>
  <si>
    <t>110 к</t>
  </si>
  <si>
    <t>Resistor_120k_1_0603</t>
  </si>
  <si>
    <t>Резистор номиналом 120 кОм и точностью 1%</t>
  </si>
  <si>
    <t>120 к</t>
  </si>
  <si>
    <t>Resistor_130k_1_0603</t>
  </si>
  <si>
    <t>Резистор номиналом 130 кОм и точностью 1%</t>
  </si>
  <si>
    <t>130 к</t>
  </si>
  <si>
    <t>Resistor_150k_1_0603</t>
  </si>
  <si>
    <t>Резистор номиналом 150 кОм и точностью 1%</t>
  </si>
  <si>
    <t>150 к</t>
  </si>
  <si>
    <t>Resistor_160k_1_0603</t>
  </si>
  <si>
    <t>Резистор номиналом 160 кОм и точностью 1%</t>
  </si>
  <si>
    <t>160 к</t>
  </si>
  <si>
    <t>Resistor_180k_1_0603</t>
  </si>
  <si>
    <t>Резистор номиналом 180 кОм и точностью 1%</t>
  </si>
  <si>
    <t>180 к</t>
  </si>
  <si>
    <t>Resistor_200k_1_0603</t>
  </si>
  <si>
    <t>Резистор номиналом 200 кОм и точностью 1%</t>
  </si>
  <si>
    <t>200 к</t>
  </si>
  <si>
    <t>Resistor_220k_1_0603</t>
  </si>
  <si>
    <t>Резистор номиналом 220 кОм и точностью 1%</t>
  </si>
  <si>
    <t>220 к</t>
  </si>
  <si>
    <t>Resistor_240k_1_0603</t>
  </si>
  <si>
    <t>Резистор номиналом 240 кОм и точностью 1%</t>
  </si>
  <si>
    <t>240 к</t>
  </si>
  <si>
    <t>Resistor_270k_1_0603</t>
  </si>
  <si>
    <t>Резистор номиналом 270 кОм и точностью 1%</t>
  </si>
  <si>
    <t>270 к</t>
  </si>
  <si>
    <t>Resistor_300k_1_0603</t>
  </si>
  <si>
    <t>Резистор номиналом 300 кОм и точностью 1%</t>
  </si>
  <si>
    <t>300 к</t>
  </si>
  <si>
    <t>Resistor_330k_1_0603</t>
  </si>
  <si>
    <t>Резистор номиналом 330 кОм и точностью 1%</t>
  </si>
  <si>
    <t>330 к</t>
  </si>
  <si>
    <t>Resistor_360k_1_0603</t>
  </si>
  <si>
    <t>Резистор номиналом 360 кОм и точностью 1%</t>
  </si>
  <si>
    <t>360 к</t>
  </si>
  <si>
    <t>Resistor_390k_1_0603</t>
  </si>
  <si>
    <t>Резистор номиналом 390 кОм и точностью 1%</t>
  </si>
  <si>
    <t>390 к</t>
  </si>
  <si>
    <t>Resistor_430k_1_0603</t>
  </si>
  <si>
    <t>Резистор номиналом 430 кОм и точностью 1%</t>
  </si>
  <si>
    <t>430 к</t>
  </si>
  <si>
    <t>Resistor_470k_1_0603</t>
  </si>
  <si>
    <t>Резистор номиналом 470 кОм и точностью 1%</t>
  </si>
  <si>
    <t>470 к</t>
  </si>
  <si>
    <t>Resistor_510k_1_0603</t>
  </si>
  <si>
    <t>Резистор номиналом 510 кОм и точностью 1%</t>
  </si>
  <si>
    <t>510 к</t>
  </si>
  <si>
    <t>Resistor_560k_1_0603</t>
  </si>
  <si>
    <t>Резистор номиналом 560 кОм и точностью 1%</t>
  </si>
  <si>
    <t>560 к</t>
  </si>
  <si>
    <t>Resistor_620k_1_0603</t>
  </si>
  <si>
    <t>Резистор номиналом 620 кОм и точностью 1%</t>
  </si>
  <si>
    <t>620 к</t>
  </si>
  <si>
    <t>Resistor_680k_1_0603</t>
  </si>
  <si>
    <t>Резистор номиналом 680 кОм и точностью 1%</t>
  </si>
  <si>
    <t>680 к</t>
  </si>
  <si>
    <t>Resistor_750k_1_0603</t>
  </si>
  <si>
    <t>Резистор номиналом 750 кОм и точностью 1%</t>
  </si>
  <si>
    <t>750 к</t>
  </si>
  <si>
    <t>Resistor_820k_1_0603</t>
  </si>
  <si>
    <t>Резистор номиналом 820 кОм и точностью 1%</t>
  </si>
  <si>
    <t>820 к</t>
  </si>
  <si>
    <t>Resistor_910k_1_0603</t>
  </si>
  <si>
    <t>Резистор номиналом 910 кОм и точностью 1%</t>
  </si>
  <si>
    <t>910 к</t>
  </si>
  <si>
    <t>Resistor_1.0M_1_0603</t>
  </si>
  <si>
    <t>Резистор номиналом 1,0 МОм и точностью 1%</t>
  </si>
  <si>
    <t>1,0 М</t>
  </si>
  <si>
    <t>Resistor_1.1M_1_0603</t>
  </si>
  <si>
    <t>Резистор номиналом 1,1 МОм и точностью 1%</t>
  </si>
  <si>
    <t>1,1 М</t>
  </si>
  <si>
    <t>Resistor_1.2M_1_0603</t>
  </si>
  <si>
    <t>Резистор номиналом 1,2 МОм и точностью 1%</t>
  </si>
  <si>
    <t>1,2 М</t>
  </si>
  <si>
    <t>Resistor_1.3M_1_0603</t>
  </si>
  <si>
    <t>Резистор номиналом 1,3 МОм и точностью 1%</t>
  </si>
  <si>
    <t>1,3 М</t>
  </si>
  <si>
    <t>Resistor_1.5M_1_0603</t>
  </si>
  <si>
    <t>Резистор номиналом 1,5 МОм и точностью 1%</t>
  </si>
  <si>
    <t>1,5 М</t>
  </si>
  <si>
    <t>Resistor_1.6M_1_0603</t>
  </si>
  <si>
    <t>Резистор номиналом 1,6 МОм и точностью 1%</t>
  </si>
  <si>
    <t>1,6 М</t>
  </si>
  <si>
    <t>Resistor_1.8M_1_0603</t>
  </si>
  <si>
    <t>Резистор номиналом 1,8 МОм и точностью 1%</t>
  </si>
  <si>
    <t>1,8 М</t>
  </si>
  <si>
    <t>Resistor_2.0M_1_0603</t>
  </si>
  <si>
    <t>Резистор номиналом 2,0 МОм и точностью 1%</t>
  </si>
  <si>
    <t>2,0 М</t>
  </si>
  <si>
    <t>Resistor_2.2M_1_0603</t>
  </si>
  <si>
    <t>Резистор номиналом 2,2 МОм и точностью 1%</t>
  </si>
  <si>
    <t>2,2 М</t>
  </si>
  <si>
    <t>Resistor_2.4M_1_0603</t>
  </si>
  <si>
    <t>Резистор номиналом 2,4 МОм и точностью 1%</t>
  </si>
  <si>
    <t>2,4 М</t>
  </si>
  <si>
    <t>Resistor_2.7M_1_0603</t>
  </si>
  <si>
    <t>Резистор номиналом 2,7 МОм и точностью 1%</t>
  </si>
  <si>
    <t>2,7 М</t>
  </si>
  <si>
    <t>Resistor_3.0M_1_0603</t>
  </si>
  <si>
    <t>Резистор номиналом 3,0 МОм и точностью 1%</t>
  </si>
  <si>
    <t>3,0 М</t>
  </si>
  <si>
    <t>Resistor_3.3M_1_0603</t>
  </si>
  <si>
    <t>Резистор номиналом 3,3 МОм и точностью 1%</t>
  </si>
  <si>
    <t>3,3 М</t>
  </si>
  <si>
    <t>Resistor_3.6M_1_0603</t>
  </si>
  <si>
    <t>Резистор номиналом 3,6 МОм и точностью 1%</t>
  </si>
  <si>
    <t>3,6 М</t>
  </si>
  <si>
    <t>Resistor_3.9M_1_0603</t>
  </si>
  <si>
    <t>Резистор номиналом 3,9 МОм и точностью 1%</t>
  </si>
  <si>
    <t>3,9 М</t>
  </si>
  <si>
    <t>Resistor_4.3M_1_0603</t>
  </si>
  <si>
    <t>Резистор номиналом 4,3 МОм и точностью 1%</t>
  </si>
  <si>
    <t>4,3 М</t>
  </si>
  <si>
    <t>Resistor_4.7M_1_0603</t>
  </si>
  <si>
    <t>Резистор номиналом 4,7 МОм и точностью 1%</t>
  </si>
  <si>
    <t>4,7 М</t>
  </si>
  <si>
    <t>Resistor_5.1M_1_0603</t>
  </si>
  <si>
    <t>Резистор номиналом 5,1 МОм и точностью 1%</t>
  </si>
  <si>
    <t>5,1 М</t>
  </si>
  <si>
    <t>Resistor_5.6M_1_0603</t>
  </si>
  <si>
    <t>Резистор номиналом 5,6 МОм и точностью 1%</t>
  </si>
  <si>
    <t>5,6 М</t>
  </si>
  <si>
    <t>Resistor_6.2M_1_0603</t>
  </si>
  <si>
    <t>Резистор номиналом 6,2 МОм и точностью 1%</t>
  </si>
  <si>
    <t>6,2 М</t>
  </si>
  <si>
    <t>Resistor_6.8M_1_0603</t>
  </si>
  <si>
    <t>Резистор номиналом 6,8 МОм и точностью 1%</t>
  </si>
  <si>
    <t>6,8 М</t>
  </si>
  <si>
    <t>Resistor_7.5M_1_0603</t>
  </si>
  <si>
    <t>Резистор номиналом 7,5 МОм и точностью 1%</t>
  </si>
  <si>
    <t>7,5 М</t>
  </si>
  <si>
    <t>Resistor_8.2M_1_0603</t>
  </si>
  <si>
    <t>Резистор номиналом 8,2 МОм и точностью 1%</t>
  </si>
  <si>
    <t>8,2 М</t>
  </si>
  <si>
    <t>Resistor_9.1M_1_0603</t>
  </si>
  <si>
    <t>Резистор номиналом 9,1 МОм и точностью 1%</t>
  </si>
  <si>
    <t>9,1 М</t>
  </si>
  <si>
    <t>Resistor_10M_1_0603</t>
  </si>
  <si>
    <t>Резистор номиналом 10 МОм и точностью 1%</t>
  </si>
  <si>
    <t>10 М</t>
  </si>
  <si>
    <t>TC33X-2-102E</t>
  </si>
  <si>
    <t>Потенциометр керметный 1кОм 0.1Вт для поверхностного монтажа</t>
  </si>
  <si>
    <t>Schematic\trim_res.SchLib</t>
  </si>
  <si>
    <t>trim_res</t>
  </si>
  <si>
    <t>1 к</t>
  </si>
  <si>
    <t>Footprints/Resistors/3mm_trim.PcbLib</t>
  </si>
  <si>
    <t>3mm_trim</t>
  </si>
  <si>
    <t>TC33X-2-101E</t>
  </si>
  <si>
    <t>Потенциометр керметный 100 Ом 0.1Вт для поверхностного монтажа</t>
  </si>
  <si>
    <t>TC33X-2-503E</t>
  </si>
  <si>
    <t>Потенциометр однооборотный керметный 50кОм 0.1Вт ±25% SMD лента на катушке</t>
  </si>
  <si>
    <t>50 к</t>
  </si>
  <si>
    <t>CRE2512-FZ-R005E-3</t>
  </si>
  <si>
    <t>Резистор номиналом 5 мОм, точностью 1%, 3Вт</t>
  </si>
  <si>
    <t>5 м</t>
  </si>
  <si>
    <t>Repetitive peak reverse voltage (Vrrm)</t>
  </si>
  <si>
    <t>S2M</t>
  </si>
  <si>
    <t>Schematic\Rectifier_diode.schLib</t>
  </si>
  <si>
    <t>Rectifier_diode</t>
  </si>
  <si>
    <t>Footprint Path 4</t>
  </si>
  <si>
    <t>Footprint Ref 4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</si>
  <si>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</si>
  <si>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</si>
  <si>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</si>
  <si>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</si>
  <si>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</si>
  <si>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</si>
  <si>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Capacitor</t>
  </si>
  <si>
    <t>Конденсатор</t>
  </si>
  <si>
    <t>Schematic\Capacitor.SchLib</t>
  </si>
  <si>
    <t>0,1 мк</t>
  </si>
  <si>
    <t>Footprints\Capacitors\0603C.PcbLib</t>
  </si>
  <si>
    <t>0603C</t>
  </si>
  <si>
    <t>Footprints\Capacitors\0805C.PcbLib</t>
  </si>
  <si>
    <t>0805C</t>
  </si>
  <si>
    <t>Footprints\Capacitors\1210С.PcbLib</t>
  </si>
  <si>
    <t>1210С</t>
  </si>
  <si>
    <t>Capacitor_polar</t>
  </si>
  <si>
    <t>Полярный конденсатор</t>
  </si>
  <si>
    <t>Schematic\Capacitor_polar.SchLib</t>
  </si>
  <si>
    <t>4,7 мк</t>
  </si>
  <si>
    <t>Footprints\Capacitors\TC_A.PcbLib</t>
  </si>
  <si>
    <t>TC_A</t>
  </si>
  <si>
    <t>Footprints\Capacitors\TC_B.PcbLib</t>
  </si>
  <si>
    <t>TC_B</t>
  </si>
  <si>
    <t>Footprints\Capacitors\TC_C.PcbLib</t>
  </si>
  <si>
    <t>TC_C</t>
  </si>
  <si>
    <t>Footprints\Capacitors\TC_D.PcbLib</t>
  </si>
  <si>
    <t>TC_D</t>
  </si>
  <si>
    <t>Footprints\Capacitors\TC_E.PcbLib</t>
  </si>
  <si>
    <t>TC_E</t>
  </si>
  <si>
    <t>Footprints\Capacitors\RADIAL-2_8mm.PcbLib</t>
  </si>
  <si>
    <t>RADIAL-2_8mm</t>
  </si>
  <si>
    <t>Footprints\Capacitors\RADIAL-2_10mm.PcbLib</t>
  </si>
  <si>
    <t>RADIAL-2_10mm</t>
  </si>
  <si>
    <t>Library Path2</t>
  </si>
  <si>
    <t>Voltage (V)</t>
  </si>
  <si>
    <t>Dielectric</t>
  </si>
  <si>
    <t>Capacity (nF)</t>
  </si>
  <si>
    <t>Capacitor_1n_10_50V_X7R_0603C</t>
  </si>
  <si>
    <t>1 н</t>
  </si>
  <si>
    <t>X7R</t>
  </si>
  <si>
    <t>Capacitor_1,2n_10_50V_X7R_0603C</t>
  </si>
  <si>
    <t>1,2 н</t>
  </si>
  <si>
    <t>Capacitor_1,5n_10_50V_X7R_0603C</t>
  </si>
  <si>
    <t>1,5 н</t>
  </si>
  <si>
    <t>Capacitor_1,8n_10_50V_X7R_0603C</t>
  </si>
  <si>
    <t>1,8 н</t>
  </si>
  <si>
    <t>Capacitor_2,2n_10_50V_X7R_0603C</t>
  </si>
  <si>
    <t>2,2 н</t>
  </si>
  <si>
    <t>Capacitor_2,7n_10_50V_X7R_0603C</t>
  </si>
  <si>
    <t>2,7 н</t>
  </si>
  <si>
    <t>Capacitor_3,3n_10_50V_X7R_0603C</t>
  </si>
  <si>
    <t>3,3 н</t>
  </si>
  <si>
    <t>Capacitor_3,9n_10_50V_X7R_0603C</t>
  </si>
  <si>
    <t>3,9 н</t>
  </si>
  <si>
    <t>Capacitor_4,7n_10_50V_X7R_0603C</t>
  </si>
  <si>
    <t>4,7 н</t>
  </si>
  <si>
    <t>Capacitor_5,6n_10_50V_X7R_0603C</t>
  </si>
  <si>
    <t>5,6 н</t>
  </si>
  <si>
    <t>Capacitor_6,8n_10_50V_X7R_0603C</t>
  </si>
  <si>
    <t>6,8 н</t>
  </si>
  <si>
    <t>Capacitor_8,2n_10_50V_X7R_0603C</t>
  </si>
  <si>
    <t>8,2 н</t>
  </si>
  <si>
    <t>Capacitor_10n_10_50V_X7R_0603C</t>
  </si>
  <si>
    <t>10 н</t>
  </si>
  <si>
    <t>Capacitor_12n_10_50V_X7R_0603C</t>
  </si>
  <si>
    <t>12 н</t>
  </si>
  <si>
    <t>Capacitor_15n_10_50V_X7R_0603C</t>
  </si>
  <si>
    <t>15 н</t>
  </si>
  <si>
    <t>Capacitor_18n_10_50V_X7R_0603C</t>
  </si>
  <si>
    <t>18 н</t>
  </si>
  <si>
    <t>Capacitor_22n_10_50V_X7R_0603C</t>
  </si>
  <si>
    <t>22 н</t>
  </si>
  <si>
    <t>Capacitor_27n_10_50V_X7R_0603C</t>
  </si>
  <si>
    <t>27 н</t>
  </si>
  <si>
    <t>Capacitor_33n_10_50V_X7R_0603C</t>
  </si>
  <si>
    <t>33 н</t>
  </si>
  <si>
    <t>Capacitor_39n_10_50V_X7R_0603C</t>
  </si>
  <si>
    <t>39 н</t>
  </si>
  <si>
    <t>Capacitor_47n_10_50V_X7R_0603C</t>
  </si>
  <si>
    <t>47 н</t>
  </si>
  <si>
    <t>Capacitor_56n_10_50V_X7R_0603C</t>
  </si>
  <si>
    <t>56 н</t>
  </si>
  <si>
    <t>Capacitor_68n_10_50V_X7R_0603C</t>
  </si>
  <si>
    <t>68 н</t>
  </si>
  <si>
    <t>Capacitor_82n_10_50V_X7R_0603C</t>
  </si>
  <si>
    <t>82 н</t>
  </si>
  <si>
    <t>Capacitor_0,1u_10_50V_X7R_0603C</t>
  </si>
  <si>
    <t>Capacitor_0,12u_10_50V_X7R_0603C</t>
  </si>
  <si>
    <t>0,12 мк</t>
  </si>
  <si>
    <t>Capacitor_0,15u_10_50V_X7R_0603C</t>
  </si>
  <si>
    <t>0,15 мк</t>
  </si>
  <si>
    <t>Capacitor_0,18u_10_50V_X7R_0603C</t>
  </si>
  <si>
    <t>0,18 мк</t>
  </si>
  <si>
    <t>Capacitor_0,22u_10_50V_X7R_0603C</t>
  </si>
  <si>
    <t>0,22 мк</t>
  </si>
  <si>
    <t>Capacitor_0,27u_10_50V_X7R_0603C</t>
  </si>
  <si>
    <t>0,27 мк</t>
  </si>
  <si>
    <t>Capacitor_0,33u_10_50V_X7R_0603C</t>
  </si>
  <si>
    <t>0,33 мк</t>
  </si>
  <si>
    <t>Capacitor_0,39u_10_50V_X7R_0603C</t>
  </si>
  <si>
    <t>0,39 мк</t>
  </si>
  <si>
    <t>Capacitor_0,47u_10_50V_X7R_0603C</t>
  </si>
  <si>
    <t>0,47 мк</t>
  </si>
  <si>
    <t>Capacitor_0,56u_10_50V_X7R_0603C</t>
  </si>
  <si>
    <t>0,56 мк</t>
  </si>
  <si>
    <t>Capacitor_0,68u_10_50V_X7R_0603C</t>
  </si>
  <si>
    <t>0,68 мк</t>
  </si>
  <si>
    <t>Capacitor_0,82u_10_50V_X7R_0603C</t>
  </si>
  <si>
    <t>0,82 мк</t>
  </si>
  <si>
    <t>Capacitor_1u_10_50V_X7R_0603C</t>
  </si>
  <si>
    <t>1 мк</t>
  </si>
  <si>
    <t>Capacitor_4,7u_10_50V_X7R_1206C</t>
  </si>
  <si>
    <t>Footprints\Capacitors\1206C.PcbLib</t>
  </si>
  <si>
    <t>1206C</t>
  </si>
  <si>
    <t>Capacitor_10u_10_35V_X7R_1210C</t>
  </si>
  <si>
    <t>10 мк</t>
  </si>
  <si>
    <t>Footprints\Capacitors\1210C.PcbLib</t>
  </si>
  <si>
    <t>1210C</t>
  </si>
  <si>
    <t>Capacitor_22u_10_25V_X7R_1210C</t>
  </si>
  <si>
    <t>22 мк</t>
  </si>
  <si>
    <t>Capacitor_0,1u_10_1000V_X7R_1812C</t>
  </si>
  <si>
    <t>Footprints\Capacitors\1812C.PcbLib</t>
  </si>
  <si>
    <t>1812C</t>
  </si>
  <si>
    <t>Type</t>
  </si>
  <si>
    <t>Capacity (uF)</t>
  </si>
  <si>
    <t>Capacitor_1u_10_50V_TC_A</t>
  </si>
  <si>
    <t>Танталовый конденсатор</t>
  </si>
  <si>
    <t>Tantalum</t>
  </si>
  <si>
    <t>Capacitor_1,5u_10_50V_TC_A</t>
  </si>
  <si>
    <t>1,5 мк</t>
  </si>
  <si>
    <t>Capacitor_2,2u_10_50V_TC_A</t>
  </si>
  <si>
    <t>2,2 мк</t>
  </si>
  <si>
    <t>Capacitor_3,3u_10_50V_TC_A</t>
  </si>
  <si>
    <t>3,3 мк</t>
  </si>
  <si>
    <t>Capacitor_4,7u_10_50V_TC_A</t>
  </si>
  <si>
    <t>Capacitor_6,8u_10_50V_TC_A</t>
  </si>
  <si>
    <t>6,8 мк</t>
  </si>
  <si>
    <t>Capacitor_10u_10_50V_TC_A</t>
  </si>
  <si>
    <t>Capacitor_15u_10_50V_TC_A</t>
  </si>
  <si>
    <t>15 мк</t>
  </si>
  <si>
    <t>Capacitor_22u_10_50V_TC_A</t>
  </si>
  <si>
    <t>Capacitor_33u_10_50V_TC_A</t>
  </si>
  <si>
    <t>33 мк</t>
  </si>
  <si>
    <t>Capacitor_47u_10_50V_TC_A</t>
  </si>
  <si>
    <t>47 мк</t>
  </si>
  <si>
    <t>Capacitor_68u_10_50V_TC_A</t>
  </si>
  <si>
    <t>68 мк</t>
  </si>
  <si>
    <t>Capacitor_100u_10_50V_TC_A</t>
  </si>
  <si>
    <t>100 мк</t>
  </si>
  <si>
    <t>Capacitor_150u_10_50V_TC_A</t>
  </si>
  <si>
    <t>150 мк</t>
  </si>
  <si>
    <t>Capacitor_220u_10_50V_TC_A</t>
  </si>
  <si>
    <t>220 мк</t>
  </si>
  <si>
    <t>Capacitor_330u_10_50V_TC_A</t>
  </si>
  <si>
    <t>330 мк</t>
  </si>
  <si>
    <t>Capacitor_470u_10_50V_TC_A</t>
  </si>
  <si>
    <t>470 мк</t>
  </si>
  <si>
    <t>Capacitor_680u_10_50V_TC_A</t>
  </si>
  <si>
    <t>680 мк</t>
  </si>
  <si>
    <t>Capacitor_1000u_10_50V_TC_A</t>
  </si>
  <si>
    <t>1000 мк</t>
  </si>
  <si>
    <t>Capacitor_2200u_10V_10x20</t>
  </si>
  <si>
    <t>Конденсатор радиальный 2200мкФ 10В ±20% 10*19</t>
  </si>
  <si>
    <t>2200 мк</t>
  </si>
  <si>
    <t>Aluminum</t>
  </si>
  <si>
    <t>Footprints\Capacitors\10x20_radial.PcbLib</t>
  </si>
  <si>
    <t>10x20_radial</t>
  </si>
  <si>
    <t>Footprints\Capacitors\10x20_radial_angular.PcbLib</t>
  </si>
  <si>
    <t>10x20_radial_angular</t>
  </si>
  <si>
    <t>EEVFK1E102Q</t>
  </si>
  <si>
    <t>Конденсатор алюминиевый электролитический 1000мкФ 25В 20% Low ESR 1100мА SMD12.5x13.5мм</t>
  </si>
  <si>
    <t>SMD Aluminum</t>
  </si>
  <si>
    <t>Footprints\Capacitors\SMD_cap_12,5x13,5.PcbLib</t>
  </si>
  <si>
    <t>SMD_cap_12,5x13,5</t>
  </si>
  <si>
    <t>EEVFK1V102M</t>
  </si>
  <si>
    <t>Footprints\Capacitors\CAP_EEVFK1V102M.PcbLib</t>
  </si>
  <si>
    <t>CAP_EEVFK1V102M</t>
  </si>
  <si>
    <t>JRB2G3R3M03500800120000B</t>
  </si>
  <si>
    <t>К50-35, 3.3мкФ, 400В, 105°C, 20%, 8x12мм P:3.5мм</t>
  </si>
  <si>
    <t>3.3 мк</t>
  </si>
  <si>
    <t>Footprints\Capacitors\8x12_radial.PcbLib</t>
  </si>
  <si>
    <t>8x12_radial</t>
  </si>
  <si>
    <t>Footprints\Capacitors\8x12_radial_angular.PcbLib</t>
  </si>
  <si>
    <t>8x12_radial_angular</t>
  </si>
  <si>
    <r>
      <rPr>
        <sz val="12"/>
        <color rgb="FF000000"/>
        <rFont val="Calibri"/>
        <charset val="134"/>
        <scheme val="minor"/>
      </rPr>
      <t>Inductance (</t>
    </r>
    <r>
      <rPr>
        <sz val="12"/>
        <color rgb="FF000000"/>
        <rFont val="Calibri"/>
        <charset val="204"/>
      </rPr>
      <t>μ</t>
    </r>
    <r>
      <rPr>
        <sz val="12"/>
        <color rgb="FF000000"/>
        <rFont val="Calibri"/>
        <charset val="134"/>
        <scheme val="minor"/>
      </rPr>
      <t>H)</t>
    </r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</si>
  <si>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</si>
  <si>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</si>
  <si>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</si>
  <si>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</si>
  <si>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</si>
  <si>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</si>
  <si>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</si>
  <si>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IHLP4040DZER330M11</t>
  </si>
  <si>
    <t>ЧИП-индуктивность экранированная 33мкГн ±20% 4,4A 94,5мОм 4040</t>
  </si>
  <si>
    <t>IHLP-4040</t>
  </si>
  <si>
    <t>B82472G6683M</t>
  </si>
  <si>
    <t>7.3x7.3</t>
  </si>
  <si>
    <t>IHLP2525CZER4R7M01</t>
  </si>
  <si>
    <t>ЧИП-индуктивность экранированная 4,7мкГн ±20% 5,5A 40мОм 2525</t>
  </si>
  <si>
    <t>IHLP-2525</t>
  </si>
  <si>
    <t>IHLP4040DZER220M11</t>
  </si>
  <si>
    <t>ЧИП-индуктивность экранированная 22мкГн ±20% 5A 66мОм 4040 лента на катушке</t>
  </si>
  <si>
    <t>B82462G4223M</t>
  </si>
  <si>
    <t xml:space="preserve">ЧИП-индуктивность 22мкГн, 1.05A, ±20% </t>
  </si>
  <si>
    <t>B82462G4</t>
  </si>
  <si>
    <t>1,05</t>
  </si>
  <si>
    <t>CSAB0530-R33M</t>
  </si>
  <si>
    <t xml:space="preserve">ЧИП-индуктивность 0.33мкГн, 15A, ±20% </t>
  </si>
  <si>
    <t>CSAB0530</t>
  </si>
  <si>
    <t>B82477R4683M100</t>
  </si>
  <si>
    <t>12.5x12.5</t>
  </si>
  <si>
    <t>SDR0403-120ML</t>
  </si>
  <si>
    <t>4.5x4_wired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</si>
  <si>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</si>
  <si>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</si>
  <si>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М20ВН 20х10х5</t>
  </si>
  <si>
    <t>Schematic\Transformer_M20VN.SchLib</t>
  </si>
  <si>
    <t>1.2 мк</t>
  </si>
  <si>
    <t>IHLP4040DZER470M11</t>
  </si>
  <si>
    <t>ЧИП-индуктивность экранированная 47мкГн ±20% 3,3A 145мОм 4040</t>
  </si>
  <si>
    <t>IHLP4040DZER101M11</t>
  </si>
  <si>
    <t>ЧИП-индуктивность экранированная 100мкГн ±20% 2,5A 270мОм 4040</t>
  </si>
  <si>
    <t>HV_trans</t>
  </si>
  <si>
    <t>Импульсный трансформатор для поджига вспышки</t>
  </si>
  <si>
    <t>Schematic\HV_trans.SchLib</t>
  </si>
  <si>
    <t>EE16_transformer</t>
  </si>
  <si>
    <t>Напряжение</t>
  </si>
  <si>
    <t>Ток макс</t>
  </si>
  <si>
    <t>TS820-600B-TR</t>
  </si>
  <si>
    <t>Тиристор 600В 8А</t>
  </si>
  <si>
    <t>Schematic\thyristor1K2A3G.SchLib</t>
  </si>
  <si>
    <t>thyristor</t>
  </si>
  <si>
    <t>600 В</t>
  </si>
  <si>
    <t>8 А</t>
  </si>
  <si>
    <t>Tact_button</t>
  </si>
  <si>
    <t>Тактовая кнопка</t>
  </si>
  <si>
    <t>Button_SMD_10mm</t>
  </si>
  <si>
    <t>Button_SMD_6x6</t>
  </si>
  <si>
    <t>LED</t>
  </si>
  <si>
    <t>Светодиод</t>
  </si>
  <si>
    <t>0805D</t>
  </si>
  <si>
    <t>XTAL</t>
  </si>
  <si>
    <t>Кварцевый резонатор</t>
  </si>
  <si>
    <t>HC49SD</t>
  </si>
  <si>
    <t>XTAL_GND</t>
  </si>
  <si>
    <t>Кварцевый резонатор с входом земли</t>
  </si>
  <si>
    <t>QSMD3.2x2.5</t>
  </si>
  <si>
    <t>SB</t>
  </si>
  <si>
    <t>Solder bridge, мост припоя, запаиваемая перемычка, net tie, jumper</t>
  </si>
  <si>
    <t>0805SB</t>
  </si>
  <si>
    <t>1206SB</t>
  </si>
  <si>
    <t>0805SB_wide_gap</t>
  </si>
  <si>
    <t>CBM432AST23</t>
  </si>
  <si>
    <t>Источник опорного напряжения, программируемый стабилитрон</t>
  </si>
  <si>
    <t>precision_shunt_regulator</t>
  </si>
  <si>
    <t>UMW TL431 0.5%</t>
  </si>
  <si>
    <t>Источник опорного напряжения , программируемый стабилитрон [SOT-23-3]</t>
  </si>
  <si>
    <t>Fuse 20x5 on clips FC-M</t>
  </si>
  <si>
    <t>Предохранитель 20*5 на креплениях</t>
  </si>
  <si>
    <t>fuse</t>
  </si>
  <si>
    <t>fuse_20x5_on_clips_FC-M</t>
  </si>
  <si>
    <t>DHT22</t>
  </si>
  <si>
    <t>Датчик температуры и влажности на базе AM2302</t>
  </si>
  <si>
    <t>cooler4040</t>
  </si>
  <si>
    <t>вентилятор 40*40 с дыркой на плате</t>
  </si>
  <si>
    <t>cooler3030</t>
  </si>
  <si>
    <t>вентилятор 30*30 с дыркой на плате</t>
  </si>
  <si>
    <t>1N4148</t>
  </si>
  <si>
    <t>диод</t>
  </si>
  <si>
    <t>Schematic\Diods\1N4148.SchLib</t>
  </si>
  <si>
    <t>Footprints\Diods\DIOAD753W49L380D172B.PcbLib</t>
  </si>
  <si>
    <t>DIOAD753W49L380D172B</t>
  </si>
  <si>
    <t>IDC-10</t>
  </si>
  <si>
    <t>10-пиновый разъём с ключём</t>
  </si>
  <si>
    <t>Schematic\Connectors\Conn_10pin.SchLib</t>
  </si>
  <si>
    <t>Conn_10pin</t>
  </si>
  <si>
    <t>Footprints\Connectors\IDC-10.PcbLib</t>
  </si>
  <si>
    <t>D-SUB-26</t>
  </si>
  <si>
    <t>Schematic\Connectors\Conn_26pin.SchLib</t>
  </si>
  <si>
    <t>Conn_26pin</t>
  </si>
  <si>
    <t>Footprints\Connectors\D-SUB-26.PcbLib</t>
  </si>
  <si>
    <t>PLS-4</t>
  </si>
  <si>
    <t>Гребенка 4 пина</t>
  </si>
  <si>
    <t>Schematic\Connectors\Conn_4pin.SchLib</t>
  </si>
  <si>
    <t>Conn_4pin</t>
  </si>
  <si>
    <t>Footprints\Connectors\PLS_PLD_PBS_PBD_and_others\PLS_ALL.PcbLib</t>
  </si>
  <si>
    <t>PLS4</t>
  </si>
  <si>
    <t>CWF-5</t>
  </si>
  <si>
    <t>5-пиновый разъем с ключом</t>
  </si>
  <si>
    <t>Schematic\Connectors\Conn_5pin.SchLib</t>
  </si>
  <si>
    <t>Conn_5pin</t>
  </si>
  <si>
    <t>Footprints\Connectors\CWF\CWF-5.PcbLib</t>
  </si>
  <si>
    <t>CWF-3</t>
  </si>
  <si>
    <t>3-пиновый разъем с ключом</t>
  </si>
  <si>
    <t>Schematic\Connectors\Conn_3pin.SchLib</t>
  </si>
  <si>
    <t>Conn_3pin</t>
  </si>
  <si>
    <t>Footprints\Connectors\CWF\CWF-3.PcbLib</t>
  </si>
  <si>
    <t>Footprints\Connectors\CWF\anotherCWF-3.PcbLib</t>
  </si>
  <si>
    <t>anotherCWF-3</t>
  </si>
  <si>
    <t>XT30UPB-M</t>
  </si>
  <si>
    <t>2-пиновый разъем с ключом</t>
  </si>
  <si>
    <t>Schematic\Connectors\Polar_Conn.SchLib</t>
  </si>
  <si>
    <t>Polar_Conn</t>
  </si>
  <si>
    <t>Footprints\Connectors\XT30UPB-M.PcbLib</t>
  </si>
  <si>
    <t>2_PADS</t>
  </si>
  <si>
    <t>2 контактные площадки под пайку толстых проводов</t>
  </si>
  <si>
    <t>Schematic\Connectors\Conn_2pin.SchLib</t>
  </si>
  <si>
    <t>Conn_2pin</t>
  </si>
  <si>
    <t>Footprints\Connectors\2_PADS.PcbLib</t>
  </si>
  <si>
    <t>Footprints\Connectors\2_Holes.pcblib</t>
  </si>
  <si>
    <t>2_HOLES</t>
  </si>
  <si>
    <t>XT30PW-M</t>
  </si>
  <si>
    <t>30 А (15 продолжительно), 2 контакта разъем угловой отец</t>
  </si>
  <si>
    <t>Schematic\Connectors\Polar_Conn_Shield.SchLib</t>
  </si>
  <si>
    <t>Polar_Conn_Shield</t>
  </si>
  <si>
    <t>Footprints\Connectors\XT30PW-M.PcbLib</t>
  </si>
  <si>
    <t>KLS2-300-5.00-02P-2S</t>
  </si>
  <si>
    <t>Клеммник винтовой, 2-контактный, 5мм, прямой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</si>
  <si>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</si>
  <si>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</si>
  <si>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</si>
  <si>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</si>
  <si>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</si>
  <si>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</si>
  <si>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</si>
  <si>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</si>
  <si>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</si>
  <si>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XT30UPB-F</t>
  </si>
  <si>
    <t>30 А (15 продолжительно), прямая мать</t>
  </si>
  <si>
    <t>Footprints\Connectors\XT30UPB-F.PcbLib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</si>
  <si>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</si>
  <si>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</si>
  <si>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</si>
  <si>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</si>
  <si>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</si>
  <si>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D-SUB_25_angular_mother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</si>
  <si>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</si>
  <si>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Schematic\Connectors\D-SUB_25_angular_mother.SchLib</t>
  </si>
  <si>
    <t>Footprints\Connectors\D-SUB_25_angular_mother.PcbLib</t>
  </si>
  <si>
    <t>1-1734577-3-rj45-8p8c</t>
  </si>
  <si>
    <t>Модульный разъем, Cat3, RJ45, Гнездо, 8 контакт(-ов), 8 вывод(-ов), 1 порт(-ов)</t>
  </si>
  <si>
    <t>1734577-3</t>
  </si>
  <si>
    <t>Schematic\Connectors\1-1734577-3-rj45-8p8c.SchLib</t>
  </si>
  <si>
    <t>Footprints\Connectors\1-1734577-3-rj45-8p8c.PcbLib</t>
  </si>
  <si>
    <t>Molex_430450415</t>
  </si>
  <si>
    <t>Разъем типа провод-плата, 3 мм, 4 контакт(-ов), Штыревой Разъем, для поверностного монтажа</t>
  </si>
  <si>
    <t>430450415</t>
  </si>
  <si>
    <t>Schematic\Connectors\Molex_430450415.SchLib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</si>
  <si>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</si>
  <si>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</si>
  <si>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</si>
  <si>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</si>
  <si>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</si>
  <si>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Molex_430450218</t>
  </si>
  <si>
    <t>Разъем типа провод-плата, 3 мм, 2 контакт(-ов), Штыревой Разъем, Серия Micro-Fit для поверхностного монтажа</t>
  </si>
  <si>
    <t>430450218</t>
  </si>
  <si>
    <t>Schematic\Connectors\Molex_430450218.SchLib</t>
  </si>
  <si>
    <t>Footprints\Connectors\Molex_430450218.PcbLib</t>
  </si>
  <si>
    <t>Molex_430450418</t>
  </si>
  <si>
    <t>430450418</t>
  </si>
  <si>
    <t>Footprints\Connectors\MOLEX_430450418.PcbLib</t>
  </si>
  <si>
    <t>MOLEX_430450418</t>
  </si>
  <si>
    <t>KK5045-03AG</t>
  </si>
  <si>
    <t>Разъем типа провод-плата, 2.5 мм, 3 контакта</t>
  </si>
  <si>
    <t>Footprints\Connectors\KK5045-03AG.PcbLib</t>
  </si>
  <si>
    <t>KK5045-04AG</t>
  </si>
  <si>
    <t>Разъем типа провод-плата, 2.5 мм, 4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</si>
  <si>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</si>
  <si>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</si>
  <si>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</si>
  <si>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</si>
  <si>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</t>
  </si>
  <si>
    <t>MPW-3 , Вилка на плату 5.08мм прямая 3pin</t>
  </si>
  <si>
    <t>Footprints\Connectors\MPW-3.PcbLib</t>
  </si>
  <si>
    <t>MPW-4</t>
  </si>
  <si>
    <t>MPW-4 , Вилка на плату 5.08мм прямая 4pin</t>
  </si>
  <si>
    <t>Footprints\Connectors\MPW-4.PcbLib</t>
  </si>
  <si>
    <t>MPW-8</t>
  </si>
  <si>
    <t>MPW-8 , Вилка на плату 5.08мм прямая 8pin</t>
  </si>
  <si>
    <t>Schematic\Connectors\Conn_8pin.SchLib</t>
  </si>
  <si>
    <t>Conn_8pin</t>
  </si>
  <si>
    <t>Footprints\Connectors\MPW-8.PcbLib</t>
  </si>
  <si>
    <t>PLS-2</t>
  </si>
  <si>
    <t>Гребенка 2 пина</t>
  </si>
  <si>
    <t>PLS2</t>
  </si>
  <si>
    <t>PLH-4</t>
  </si>
  <si>
    <t xml:space="preserve">Гребенка высокая 4 пина типоразмер 18 (промежуток 10.4мм) Connfly </t>
  </si>
  <si>
    <t>Footprints\Connectors\PLS_PLD_PBS_PBD_and_others\PLH_ALL.PcbLib</t>
  </si>
  <si>
    <t>PLH4_type18</t>
  </si>
  <si>
    <t>https://static.chipdip.ru/lib/530/DOC059530234.pdf</t>
  </si>
  <si>
    <t>PLH-2</t>
  </si>
  <si>
    <t>Гребенка высокая 2 пина типоразмер 18 (промежуток 10.4мм) Connfly</t>
  </si>
  <si>
    <t>PLH2_type18</t>
  </si>
  <si>
    <t>PBS-4</t>
  </si>
  <si>
    <t>Розетка 4 пина высота 8.5</t>
  </si>
  <si>
    <t>Footprints\Connectors\PLS_PLD_PBS_PBD_and_others\PBS_ALL.PcbLib</t>
  </si>
  <si>
    <t>PBS4_8.5</t>
  </si>
  <si>
    <t>https://static.chipdip.ru/lib/986/DOC012986355.pdf</t>
  </si>
  <si>
    <t>PBS-2</t>
  </si>
  <si>
    <t>PBS2_8.5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</si>
</sst>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0.0"/>
  </numFmts>
  <fonts count="26">
    <font>
      <sz val="11"/>
      <color theme="1"/>
      <name val="Calibri"/>
      <charset val="134"/>
      <scheme val="minor"/>
    </font>
    <font>
      <sz val="12"/>
      <color rgb="FF000000"/>
      <name val="Calibri"/>
      <charset val="134"/>
      <scheme val="minor"/>
    </font>
    <font>
      <b/>
      <sz val="12"/>
      <color rgb="FF000000"/>
      <name val="Calibri"/>
      <charset val="134"/>
      <scheme val="minor"/>
    </font>
    <font>
      <sz val="12"/>
      <color theme="1"/>
      <name val="Calibri"/>
      <charset val="134"/>
      <scheme val="minor"/>
    </font>
    <font>
      <sz val="12"/>
      <color rgb="FF1F1F1F"/>
      <name val="Calibri"/>
      <charset val="204"/>
      <scheme val="minor"/>
    </font>
    <font>
      <sz val="11"/>
      <color rgb="FF222222"/>
      <name val="Calibri"/>
      <charset val="20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2"/>
      <color rgb="FF000000"/>
      <name val="Calibri"/>
      <charset val="204"/>
    </font>
  </fonts>
  <fills count="35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4" tint="0.399975585192419"/>
      </left>
      <right/>
      <top/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6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9" applyNumberFormat="0" applyAlignment="0" applyProtection="0">
      <alignment vertical="center"/>
    </xf>
    <xf numFmtId="0" fontId="15" fillId="6" borderId="10" applyNumberFormat="0" applyAlignment="0" applyProtection="0">
      <alignment vertical="center"/>
    </xf>
    <xf numFmtId="0" fontId="16" fillId="6" borderId="9" applyNumberFormat="0" applyAlignment="0" applyProtection="0">
      <alignment vertical="center"/>
    </xf>
    <xf numFmtId="0" fontId="17" fillId="7" borderId="11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28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/>
    <xf numFmtId="49" fontId="1" fillId="2" borderId="1" xfId="0" applyNumberFormat="1" applyFont="1" applyFill="1" applyBorder="1"/>
    <xf numFmtId="49" fontId="1" fillId="2" borderId="2" xfId="0" applyNumberFormat="1" applyFont="1" applyFill="1" applyBorder="1"/>
    <xf numFmtId="49" fontId="0" fillId="2" borderId="2" xfId="0" applyNumberFormat="1" applyFill="1" applyBorder="1"/>
    <xf numFmtId="180" fontId="1" fillId="0" borderId="0" xfId="0" applyNumberFormat="1" applyFont="1"/>
    <xf numFmtId="0" fontId="0" fillId="2" borderId="2" xfId="0" applyFill="1" applyBorder="1"/>
    <xf numFmtId="0" fontId="0" fillId="2" borderId="3" xfId="0" applyFill="1" applyBorder="1"/>
    <xf numFmtId="180" fontId="0" fillId="0" borderId="0" xfId="0" applyNumberFormat="1"/>
    <xf numFmtId="0" fontId="2" fillId="3" borderId="4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5" xfId="0" applyFont="1" applyFill="1" applyBorder="1"/>
    <xf numFmtId="9" fontId="0" fillId="0" borderId="0" xfId="0" applyNumberFormat="1"/>
    <xf numFmtId="49" fontId="1" fillId="0" borderId="0" xfId="0" applyNumberFormat="1" applyFont="1"/>
    <xf numFmtId="49" fontId="3" fillId="0" borderId="0" xfId="0" applyNumberFormat="1" applyFont="1"/>
    <xf numFmtId="49" fontId="0" fillId="2" borderId="1" xfId="0" applyNumberFormat="1" applyFill="1" applyBorder="1"/>
    <xf numFmtId="1" fontId="0" fillId="2" borderId="2" xfId="0" applyNumberFormat="1" applyFill="1" applyBorder="1"/>
    <xf numFmtId="1" fontId="0" fillId="2" borderId="3" xfId="0" applyNumberFormat="1" applyFill="1" applyBorder="1"/>
    <xf numFmtId="10" fontId="1" fillId="0" borderId="0" xfId="0" applyNumberFormat="1" applyFont="1" applyAlignment="1">
      <alignment horizontal="right"/>
    </xf>
    <xf numFmtId="9" fontId="1" fillId="0" borderId="0" xfId="0" applyNumberFormat="1" applyFont="1"/>
    <xf numFmtId="0" fontId="1" fillId="0" borderId="0" xfId="0" applyFont="1" applyAlignment="1">
      <alignment horizontal="left" vertical="center" wrapText="1"/>
    </xf>
    <xf numFmtId="0" fontId="4" fillId="0" borderId="0" xfId="0" applyFont="1"/>
    <xf numFmtId="1" fontId="0" fillId="0" borderId="0" xfId="0" applyNumberFormat="1"/>
    <xf numFmtId="1" fontId="0" fillId="0" borderId="0" xfId="0" applyNumberFormat="1" applyAlignment="1">
      <alignment horizontal="right"/>
    </xf>
    <xf numFmtId="0" fontId="5" fillId="0" borderId="0" xfId="0" applyFont="1" applyAlignment="1">
      <alignment vertical="center" wrapText="1"/>
    </xf>
  </cellXfs>
  <cellStyles count="49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</cellStyles>
  <dxfs count="105">
    <dxf>
      <numFmt numFmtId="49" formatCode="@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numFmt numFmtId="49" formatCode="@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</dxf>
    <dxf>
      <numFmt numFmtId="49" formatCode="@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font>
        <name val="Calibri"/>
        <scheme val="none"/>
        <family val="2"/>
        <b val="0"/>
        <i val="0"/>
        <strike val="0"/>
        <u val="none"/>
        <sz val="12"/>
        <color rgb="FF000000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9" formatCode="0%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180" formatCode="0.0"/>
    </dxf>
    <dxf>
      <numFmt numFmtId="0" formatCode="General"/>
    </dxf>
    <dxf>
      <numFmt numFmtId="0" formatCode="General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49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9" formatCode="@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0">
    <xsd:schema xmlns="" xmlns:xsd="http://www.w3.org/2001/XMLSchema">
      <xsd:element name="Capacitor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Value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FootprintPath2" nillable="true" type="xsd:string"/>
                  <xsd:element form="unqualified" minOccurs="0" name="FootprintRef2" nillable="true" type="xsd:string"/>
                  <xsd:element form="unqualified" minOccurs="0" name="FootprintPath3" nillable="true" type="xsd:string"/>
                  <xsd:element form="unqualified" minOccurs="0" name="FootprintRef3" nillable="true" type="xsd:string"/>
                  <xsd:element form="unqualified" minOccurs="0" name="FootprintPath4" nillable="true" type="xsd:string"/>
                  <xsd:element form="unqualified" minOccurs="0" name="FootprintRef4" nillable="true" type="xsd:string"/>
                  <xsd:element form="unqualified" minOccurs="0" name="FootprintPath5" nillable="true" type="xsd:string"/>
                  <xsd:element form="unqualified" minOccurs="0" name="FootprintRef5" nillable="true" type="xsd:string"/>
                  <xsd:element form="unqualified" minOccurs="0" name="FootprintPath6" nillable="true" type="xsd:string"/>
                  <xsd:element form="unqualified" minOccurs="0" name="FootprintRef6" nillable="true" type="xsd:string"/>
                  <xsd:element form="unqualified" minOccurs="0" name="FootprintPath7" nillable="true" type="xsd:string"/>
                  <xsd:element form="unqualified" minOccurs="0" name="FootprintRef7" nillable="true" type="xsd:string"/>
                </xsd:sequence>
              </xsd:complexType>
            </xsd:element>
          </xsd:sequence>
        </xsd:complexType>
      </xsd:element>
    </xsd:schema>
  </Schema>
  <Schema ID="Schema16">
    <xsd:schema xmlns="" xmlns:xsd="http://www.w3.org/2001/XMLSchema">
      <xsd:element name="Capacitors_ceramic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Value" nillable="true" type="xsd:string"/>
                  <xsd:element form="unqualified" minOccurs="0" name="Tolerance" nillable="true" type="xsd:double"/>
                  <xsd:element form="unqualified" minOccurs="0" name="Voltage" nillable="true" type="xsd:integer"/>
                  <xsd:element form="unqualified" minOccurs="0" name="Dielectric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Capacity" nillable="true" type="xsd:double"/>
                </xsd:sequence>
              </xsd:complexType>
            </xsd:element>
          </xsd:sequence>
        </xsd:complexType>
      </xsd:element>
    </xsd:schema>
  </Schema>
  <Schema ID="Schema17">
    <xsd:schema xmlns="" xmlns:xsd="http://www.w3.org/2001/XMLSchema">
      <xsd:element name="Capacitors_electrolytic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Value" nillable="true" type="xsd:string"/>
                  <xsd:element form="unqualified" minOccurs="0" name="Tolerance" nillable="true" type="xsd:double"/>
                  <xsd:element form="unqualified" minOccurs="0" name="Voltage" nillable="true" type="xsd:integer"/>
                  <xsd:element form="unqualified" minOccurs="0" name="Type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Capacity" nillable="true" type="xsd:double"/>
                </xsd:sequence>
              </xsd:complexType>
            </xsd:element>
          </xsd:sequence>
        </xsd:complexType>
      </xsd:element>
    </xsd:schema>
  </Schema>
  <Schema ID="Schema4">
    <xsd:schema xmlns="" xmlns:xsd="http://www.w3.org/2001/XMLSchema">
      <xsd:element name="Chip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</xsd:sequence>
              </xsd:complexType>
            </xsd:element>
          </xsd:sequence>
        </xsd:complexType>
      </xsd:element>
    </xsd:schema>
  </Schema>
  <Schema ID="Schema12">
    <xsd:schema xmlns="" xmlns:xsd="http://www.w3.org/2001/XMLSchema">
      <xsd:element name="Connector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</xsd:sequence>
              </xsd:complexType>
            </xsd:element>
          </xsd:sequence>
        </xsd:complexType>
      </xsd:element>
    </xsd:schema>
  </Schema>
  <Schema ID="Schema18">
    <xsd:schema xmlns="" xmlns:xsd="http://www.w3.org/2001/XMLSchema">
      <xsd:element name="Inductance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FootprintPath2" nillable="true" type="xsd:string"/>
                  <xsd:element form="unqualified" minOccurs="0" name="FootprintRef2" nillable="true" type="xsd:string"/>
                  <xsd:element form="unqualified" minOccurs="0" name="FootprintPath3" nillable="true" type="xsd:string"/>
                  <xsd:element form="unqualified" minOccurs="0" name="FootprintRef3" nillable="true" type="xsd:string"/>
                  <xsd:element form="unqualified" minOccurs="0" name="FootprintPath4" nillable="true" type="xsd:string"/>
                  <xsd:element form="unqualified" minOccurs="0" name="FootprintRef4" nillable="true" type="xsd:string"/>
                  <xsd:element form="unqualified" minOccurs="0" name="Inductance" nillable="true" type="xsd:string"/>
                  <xsd:element form="unqualified" minOccurs="0" name="Current" nillable="true" type="xsd:string"/>
                  <xsd:element form="unqualified" minOccurs="0" name="Value" nillable="true" type="xsd:string"/>
                </xsd:sequence>
              </xsd:complexType>
            </xsd:element>
          </xsd:sequence>
        </xsd:complexType>
      </xsd:element>
    </xsd:schema>
  </Schema>
  <Schema ID="Schema14">
    <xsd:schema xmlns="" xmlns:xsd="http://www.w3.org/2001/XMLSchema">
      <xsd:element name="Other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FootprintPath2" nillable="true" type="xsd:string"/>
                  <xsd:element form="unqualified" minOccurs="0" name="FootprintRef2" nillable="true" type="xsd:string"/>
                  <xsd:element form="unqualified" minOccurs="0" name="FootprintPath3" nillable="true" type="xsd:string"/>
                  <xsd:element form="unqualified" minOccurs="0" name="FootprintRef3" nillable="true" type="xsd:string"/>
                </xsd:sequence>
              </xsd:complexType>
            </xsd:element>
          </xsd:sequence>
        </xsd:complexType>
      </xsd:element>
    </xsd:schema>
  </Schema>
  <Schema ID="Schema15">
    <xsd:schema xmlns="" xmlns:xsd="http://www.w3.org/2001/XMLSchema">
      <xsd:element name="Resistor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Value" nillable="true" type="xsd:string"/>
                  <xsd:element form="unqualified" minOccurs="0" name="Tolerance" nillable="true" type="xsd:double"/>
                  <xsd:element form="unqualified" minOccurs="0" name="FootprintPath1" nillable="true" type="xsd:string"/>
                  <xsd:element form="unqualified" minOccurs="0" name="FootprintRef1" nillable="true" type="xsd:string"/>
                </xsd:sequence>
              </xsd:complexType>
            </xsd:element>
          </xsd:sequence>
        </xsd:complexType>
      </xsd:element>
    </xsd:schema>
  </Schema>
  <Schema ID="Schema13">
    <xsd:schema xmlns="" xmlns:xsd="http://www.w3.org/2001/XMLSchema">
      <xsd:element name="Schottky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VoltageNominal_V" nillable="true" type="xsd:string"/>
                  <xsd:element form="unqualified" minOccurs="0" name="Current_A" nillable="true" type="xsd:string"/>
                </xsd:sequence>
              </xsd:complexType>
            </xsd:element>
          </xsd:sequence>
        </xsd:complexType>
      </xsd:element>
    </xsd:schema>
  </Schema>
  <Schema ID="Schema8">
    <xsd:schema xmlns="" xmlns:xsd="http://www.w3.org/2001/XMLSchema">
      <xsd:element name="Transistor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FootprintPath2" nillable="true" type="xsd:string"/>
                  <xsd:element form="unqualified" minOccurs="0" name="FootprintRef2" nillable="true" type="xsd:string"/>
                </xsd:sequence>
              </xsd:complexType>
            </xsd:element>
          </xsd:sequence>
        </xsd:complexType>
      </xsd:element>
    </xsd:schema>
  </Schema>
  <Schema ID="Schema6">
    <xsd:schema xmlns="" xmlns:xsd="http://www.w3.org/2001/XMLSchema">
      <xsd:element name="TVS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VoltageNominal" nillable="true" type="xsd:string"/>
                  <xsd:element form="unqualified" minOccurs="0" name="Power" nillable="true" type="xsd:string"/>
                  <xsd:element form="unqualified" minOccurs="0" name="Value" nillable="true" type="xsd:string"/>
                  <xsd:element form="unqualified" minOccurs="0" name="Inteface" nillable="true" type="xsd:string"/>
                </xsd:sequence>
              </xsd:complexType>
            </xsd:element>
          </xsd:sequence>
        </xsd:complexType>
      </xsd:element>
    </xsd:schema>
  </Schema>
  <Schema ID="Schema5">
    <xsd:schema xmlns="" xmlns:xsd="http://www.w3.org/2001/XMLSchema">
      <xsd:element name="Zener" nillable="true">
        <xsd:complexType>
          <xsd:sequence minOccurs="0">
            <xsd:element form="unqualified" maxOccurs="unbounded" minOccurs="0" name="Part" nillable="true">
              <xsd:complexType>
                <xsd:sequence minOccurs="0">
                  <xsd:element form="unqualified" minOccurs="0" name="PartNumber" nillable="true" type="xsd:string"/>
                  <xsd:element form="unqualified" minOccurs="0" name="Description" nillable="true" type="xsd:string"/>
                  <xsd:element form="unqualified" minOccurs="0" name="Comment" nillable="true" type="xsd:string"/>
                  <xsd:element form="unqualified" minOccurs="0" name="LibraryPath" nillable="true" type="xsd:string"/>
                  <xsd:element form="unqualified" minOccurs="0" name="LibraryRef" nillable="true" type="xsd:string"/>
                  <xsd:element form="unqualified" minOccurs="0" name="FootprintPath1" nillable="true" type="xsd:string"/>
                  <xsd:element form="unqualified" minOccurs="0" name="FootprintRef1" nillable="true" type="xsd:string"/>
                  <xsd:element form="unqualified" minOccurs="0" name="VoltageNominal" nillable="true" type="xsd:string"/>
                  <xsd:element form="unqualified" minOccurs="0" name="CurrentNominal" nillable="true" type="xsd:string"/>
                  <xsd:element form="unqualified" minOccurs="0" name="Power" nillable="true" type="xsd:string"/>
                  <xsd:element form="unqualified" minOccurs="0" name="Value" nillable="true" type="xsd:string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ConnectionID="1" FileBinding="true" DataBindingLoadMode="1"/>
  </Map>
  <Map ID="43" Name="Capacitors_ceramic" RootElement="Capacitors_ceramic" SchemaID="Schema16" ShowImportExportValidationErrors="false" AutoFit="true" Append="false" PreserveSortAFLayout="true" PreserveFormat="true">
    <DataBinding ConnectionID="2" FileBinding="true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ConnectionID="3" FileBinding="true" DataBindingLoadMode="1"/>
  </Map>
  <Map ID="4" Name="Chips" RootElement="Chips" SchemaID="Schema4" ShowImportExportValidationErrors="false" AutoFit="true" Append="false" PreserveSortAFLayout="true" PreserveFormat="true">
    <DataBinding ConnectionID="6" FileBinding="true" DataBindingLoadMode="1"/>
  </Map>
  <Map ID="12" Name="Connectors" RootElement="Connectors" SchemaID="Schema12" ShowImportExportValidationErrors="false" AutoFit="true" Append="false" PreserveSortAFLayout="true" PreserveFormat="true">
    <DataBinding ConnectionID="7" FileBinding="true" DataBindingLoadMode="1"/>
  </Map>
  <Map ID="66" Name="Inductance" RootElement="Inductance" SchemaID="Schema18" ShowImportExportValidationErrors="false" AutoFit="true" Append="false" PreserveSortAFLayout="true" PreserveFormat="true">
    <DataBinding ConnectionID="9" FileBinding="true" DataBindingLoadMode="1"/>
  </Map>
  <Map ID="73" Name="Other" RootElement="Other" SchemaID="Schema14" ShowImportExportValidationErrors="false" AutoFit="true" Append="false" PreserveSortAFLayout="true" PreserveFormat="true">
    <DataBinding ConnectionID="11" FileBinding="true" DataBindingLoadMode="1"/>
  </Map>
  <Map ID="38" Name="Resistors" RootElement="Resistors" SchemaID="Schema15" ShowImportExportValidationErrors="false" AutoFit="true" Append="false" PreserveSortAFLayout="true" PreserveFormat="true">
    <DataBinding ConnectionID="13" FileBinding="true" DataBindingLoadMode="1"/>
  </Map>
  <Map ID="30" Name="Schottky" RootElement="Schottky" SchemaID="Schema13" ShowImportExportValidationErrors="false" AutoFit="true" Append="false" PreserveSortAFLayout="true" PreserveFormat="true">
    <DataBinding ConnectionID="14" FileBinding="true" DataBindingLoadMode="1"/>
  </Map>
  <Map ID="8" Name="Transistors" RootElement="Transistors" SchemaID="Schema8" ShowImportExportValidationErrors="false" AutoFit="true" Append="false" PreserveSortAFLayout="true" PreserveFormat="true">
    <DataBinding ConnectionID="15" FileBinding="true" DataBindingLoadMode="1"/>
  </Map>
  <Map ID="6" Name="TVS" RootElement="TVS" SchemaID="Schema6" ShowImportExportValidationErrors="false" AutoFit="true" Append="false" PreserveSortAFLayout="true" PreserveFormat="true">
    <DataBinding ConnectionID="16" FileBinding="true" DataBindingLoadMode="1"/>
  </Map>
  <Map ID="5" Name="Zener" RootElement="Zener" SchemaID="Schema5" ShowImportExportValidationErrors="false" AutoFit="true" Append="false" PreserveSortAFLayout="true" PreserveFormat="true">
    <DataBinding ConnectionID="17" FileBinding="true" DataBindingLoadMode="1"/>
  </Map>
</MapInfo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tyles" Target="styles.xml"/><Relationship Id="rId18" Type="http://schemas.openxmlformats.org/officeDocument/2006/relationships/sharedStrings" Target="sharedStrings.xml"/><Relationship Id="rId17" Type="http://schemas.openxmlformats.org/officeDocument/2006/relationships/theme" Target="theme/theme1.xml"/><Relationship Id="rId16" Type="http://schemas.openxmlformats.org/officeDocument/2006/relationships/xmlMaps" Target="xmlMaps.xml"/><Relationship Id="rId15" Type="http://schemas.openxmlformats.org/officeDocument/2006/relationships/connections" Target="connections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Таблица1" displayName="Таблица1" ref="A1:L38" tableType="xml" totalsRowShown="0">
  <autoFilter xmlns:etc="http://www.wps.cn/officeDocument/2017/etCustomData" ref="A1:L38" etc:filterBottomFollowUsedRange="0"/>
  <tableColumns count="12">
    <tableColumn id="1" name="Part Number" uniqueName="PartNumber">
      <xmlColumnPr mapId="4" xpath="/Chips/Part/PartNumber" xmlDataType="string"/>
    </tableColumn>
    <tableColumn id="2" name="Description" uniqueName="Description">
      <xmlColumnPr mapId="4" xpath="/Chips/Part/Description" xmlDataType="string"/>
    </tableColumn>
    <tableColumn id="3" name="Comment" uniqueName="Comment" dataDxfId="0">
      <calculatedColumnFormula>A2</calculatedColumnFormula>
      <xmlColumnPr mapId="4" xpath="/Chips/Part/Comment" xmlDataType="string"/>
    </tableColumn>
    <tableColumn id="4" name="Library Path" uniqueName="LibraryPath">
      <calculatedColumnFormula>CONCATENATE("Schematic\",A2,".SchLib")</calculatedColumnFormula>
      <xmlColumnPr mapId="4" xpath="/Chips/Part/LibraryPath" xmlDataType="string"/>
    </tableColumn>
    <tableColumn id="5" name="Library Ref" uniqueName="LibraryRef">
      <calculatedColumnFormula>A2</calculatedColumnFormula>
      <xmlColumnPr mapId="4" xpath="/Chips/Part/LibraryRef" xmlDataType="string"/>
    </tableColumn>
    <tableColumn id="6" name="Footprint Path 1" uniqueName="FootprintPath1">
      <calculatedColumnFormula>CONCATENATE("Footprints\",G2,".PcbLib")</calculatedColumnFormula>
      <xmlColumnPr mapId="4" xpath="/Chips/Part/FootprintPath1" xmlDataType="string"/>
    </tableColumn>
    <tableColumn id="7" name="Footprint Ref 1" uniqueName="FootprintRef1">
      <xmlColumnPr mapId="4" xpath="/Chips/Part/FootprintRef1" xmlDataType="string"/>
    </tableColumn>
    <tableColumn id="8" name="Footprint Path 2" uniqueName="8"/>
    <tableColumn id="9" name="Footprint Ref 2" uniqueName="9"/>
    <tableColumn id="10" name="Footprint Path 3" uniqueName="10"/>
    <tableColumn id="11" name="Footprint Ref 3" uniqueName="11"/>
    <tableColumn id="12" name="Datasheet" uniqueName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1:J11" tableType="xml" totalsRowShown="0">
  <autoFilter xmlns:etc="http://www.wps.cn/officeDocument/2017/etCustomData" ref="A1:J11" etc:filterBottomFollowUsedRange="0"/>
  <tableColumns count="10">
    <tableColumn id="1" name="Part Number" uniqueName="PartNumber">
      <xmlColumnPr mapId="30" xpath="/Schottky/Part/PartNumber" xmlDataType="string"/>
    </tableColumn>
    <tableColumn id="2" name="Description" uniqueName="Description" dataDxfId="1">
      <calculatedColumnFormula>CONCATENATE("Диод шоттки на ",H2," В, ном. ток ",I2," А")</calculatedColumnFormula>
      <xmlColumnPr mapId="30" xpath="/Schottky/Part/Description" xmlDataType="string"/>
    </tableColumn>
    <tableColumn id="3" name="Comment" uniqueName="Comment">
      <calculatedColumnFormula>A2</calculatedColumnFormula>
      <xmlColumnPr mapId="30" xpath="/Schottky/Part/Comment" xmlDataType="string"/>
    </tableColumn>
    <tableColumn id="4" name="Library Path" uniqueName="LibraryPath">
      <xmlColumnPr mapId="30" xpath="/Schottky/Part/LibraryPath" xmlDataType="string"/>
    </tableColumn>
    <tableColumn id="5" name="Library Ref" uniqueName="LibraryRef">
      <xmlColumnPr mapId="30" xpath="/Schottky/Part/LibraryRef" xmlDataType="string"/>
    </tableColumn>
    <tableColumn id="6" name="Footprint Path 1" uniqueName="FootprintPath1">
      <calculatedColumnFormula>CONCATENATE("Footprints\",G2,".PcbLib")</calculatedColumnFormula>
      <xmlColumnPr mapId="30" xpath="/Schottky/Part/FootprintPath1" xmlDataType="string"/>
    </tableColumn>
    <tableColumn id="7" name="Footprint Ref 1" uniqueName="FootprintRef1">
      <xmlColumnPr mapId="30" xpath="/Schottky/Part/FootprintRef1" xmlDataType="string"/>
    </tableColumn>
    <tableColumn id="8" name="Voltage nominal (V)" uniqueName="VoltageNominal_V" dataDxfId="2">
      <xmlColumnPr mapId="30" xpath="/Schottky/Part/VoltageNominal_V" xmlDataType="string"/>
    </tableColumn>
    <tableColumn id="9" name="Current (A)" uniqueName="Current_A" dataDxfId="3">
      <xmlColumnPr mapId="30" xpath="/Schottky/Part/Current_A" xmlDataType="string"/>
    </tableColumn>
    <tableColumn id="10" name="Datasheet" uniqueName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M6" tableType="xml" totalsRowShown="0">
  <autoFilter xmlns:etc="http://www.wps.cn/officeDocument/2017/etCustomData" ref="A1:M6" etc:filterBottomFollowUsedRange="0"/>
  <tableColumns count="13">
    <tableColumn id="1" name="Part Number" uniqueName="PartNumber">
      <xmlColumnPr mapId="5" xpath="/Zener/Part/PartNumber" xmlDataType="string"/>
    </tableColumn>
    <tableColumn id="2" name="Description" uniqueName="Description">
      <xmlColumnPr mapId="5" xpath="/Zener/Part/Description" xmlDataType="string"/>
    </tableColumn>
    <tableColumn id="3" name="Comment" uniqueName="Comment">
      <xmlColumnPr mapId="5" xpath="/Zener/Part/Comment" xmlDataType="string"/>
    </tableColumn>
    <tableColumn id="4" name="Library Path" uniqueName="LibraryPath">
      <xmlColumnPr mapId="5" xpath="/Zener/Part/LibraryPath" xmlDataType="string"/>
    </tableColumn>
    <tableColumn id="5" name="Library Ref" uniqueName="LibraryRef">
      <xmlColumnPr mapId="5" xpath="/Zener/Part/LibraryRef" xmlDataType="string"/>
    </tableColumn>
    <tableColumn id="6" name="Footprint Path 1" uniqueName="FootprintPath1">
      <xmlColumnPr mapId="5" xpath="/Zener/Part/FootprintPath1" xmlDataType="string"/>
    </tableColumn>
    <tableColumn id="7" name="Footprint Ref 1" uniqueName="FootprintRef1">
      <xmlColumnPr mapId="5" xpath="/Zener/Part/FootprintRef1" xmlDataType="string"/>
    </tableColumn>
    <tableColumn id="8" name="Voltage nominal (V)" uniqueName="VoltageNominal">
      <xmlColumnPr mapId="5" xpath="/Zener/Part/VoltageNominal" xmlDataType="string"/>
    </tableColumn>
    <tableColumn id="9" name="Current nominal (mA)" uniqueName="CurrentNominal">
      <xmlColumnPr mapId="5" xpath="/Zener/Part/CurrentNominal" xmlDataType="string"/>
    </tableColumn>
    <tableColumn id="10" name="Power (W)" uniqueName="Power">
      <xmlColumnPr mapId="5" xpath="/Zener/Part/Power" xmlDataType="string"/>
    </tableColumn>
    <tableColumn id="11" name="Value" uniqueName="Value">
      <xmlColumnPr mapId="5" xpath="/Zener/Part/Value" xmlDataType="string"/>
    </tableColumn>
    <tableColumn id="12" name="Accuracy" uniqueName="12"/>
    <tableColumn id="13" name="Datasheet" uniqueName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Таблица3" displayName="Таблица3" ref="A1:L9" tableType="xml" totalsRowShown="0">
  <autoFilter xmlns:etc="http://www.wps.cn/officeDocument/2017/etCustomData" ref="A1:L9" etc:filterBottomFollowUsedRange="0"/>
  <tableColumns count="12">
    <tableColumn id="1" name="Part Number" uniqueName="PartNumber" dataDxfId="4">
      <xmlColumnPr mapId="6" xpath="/TVS/Part/PartNumber" xmlDataType="string"/>
    </tableColumn>
    <tableColumn id="2" name="Description" uniqueName="Description" dataDxfId="5">
      <calculatedColumnFormula>IF(K2="RS-485","Защитный диод для линии RS-485",CONCATENATE("Защитный диод на ",H2," В, рассеиваемая мощность ",I2," Вт"))</calculatedColumnFormula>
      <xmlColumnPr mapId="6" xpath="/TVS/Part/Description" xmlDataType="string"/>
    </tableColumn>
    <tableColumn id="3" name="Comment" uniqueName="Comment" dataDxfId="6">
      <calculatedColumnFormula>A2</calculatedColumnFormula>
      <xmlColumnPr mapId="6" xpath="/TVS/Part/Comment" xmlDataType="string"/>
    </tableColumn>
    <tableColumn id="4" name="Library Path" uniqueName="LibraryPath" dataDxfId="7">
      <calculatedColumnFormula>CONCATENATE("Schematic\TVS\",E2,".SchLib")</calculatedColumnFormula>
      <xmlColumnPr mapId="6" xpath="/TVS/Part/LibraryPath" xmlDataType="string"/>
    </tableColumn>
    <tableColumn id="5" name="Library Ref" uniqueName="LibraryRef" dataDxfId="8">
      <xmlColumnPr mapId="6" xpath="/TVS/Part/LibraryRef" xmlDataType="string"/>
    </tableColumn>
    <tableColumn id="6" name="Footprint Path 1" uniqueName="FootprintPath1" dataDxfId="9">
      <calculatedColumnFormula>CONCATENATE("Footprints\",G2,".PcbLib")</calculatedColumnFormula>
      <xmlColumnPr mapId="6" xpath="/TVS/Part/FootprintPath1" xmlDataType="string"/>
    </tableColumn>
    <tableColumn id="7" name="Footprint Ref 1" uniqueName="FootprintRef1" dataDxfId="10">
      <xmlColumnPr mapId="6" xpath="/TVS/Part/FootprintRef1" xmlDataType="string"/>
    </tableColumn>
    <tableColumn id="8" name="Voltage nominal (V)" uniqueName="VoltageNominal" dataDxfId="11">
      <xmlColumnPr mapId="6" xpath="/TVS/Part/VoltageNominal" xmlDataType="string"/>
    </tableColumn>
    <tableColumn id="9" name="Power (W)" uniqueName="Power" dataDxfId="12">
      <xmlColumnPr mapId="6" xpath="/TVS/Part/Power" xmlDataType="string"/>
    </tableColumn>
    <tableColumn id="10" name="Value" uniqueName="Value" dataDxfId="13">
      <calculatedColumnFormula>CONCATENATE(H2," В")</calculatedColumnFormula>
      <xmlColumnPr mapId="6" xpath="/TVS/Part/Value" xmlDataType="string"/>
    </tableColumn>
    <tableColumn id="11" name="Interface" uniqueName="Inteface" dataDxfId="14">
      <xmlColumnPr mapId="6" xpath="/TVS/Part/Inteface" xmlDataType="string"/>
    </tableColumn>
    <tableColumn id="12" name="Datasheet" uniqueName="12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A1:L10" tableType="xml" totalsRowShown="0">
  <autoFilter xmlns:etc="http://www.wps.cn/officeDocument/2017/etCustomData" ref="A1:L10" etc:filterBottomFollowUsedRange="0"/>
  <tableColumns count="12">
    <tableColumn id="1" name="Part Number" uniqueName="PartNumber" dataDxfId="16">
      <xmlColumnPr mapId="8" xpath="/Transistors/Part/PartNumber" xmlDataType="string"/>
    </tableColumn>
    <tableColumn id="2" name="Description" uniqueName="Description" dataDxfId="17">
      <xmlColumnPr mapId="8" xpath="/Transistors/Part/Description" xmlDataType="string"/>
    </tableColumn>
    <tableColumn id="3" name="Comment" uniqueName="Comment" dataDxfId="18">
      <calculatedColumnFormula>A2</calculatedColumnFormula>
      <xmlColumnPr mapId="8" xpath="/Transistors/Part/Comment" xmlDataType="string"/>
    </tableColumn>
    <tableColumn id="4" name="Library Path" uniqueName="LibraryPath" dataDxfId="19">
      <xmlColumnPr mapId="8" xpath="/Transistors/Part/LibraryPath" xmlDataType="string"/>
    </tableColumn>
    <tableColumn id="5" name="Library Ref" uniqueName="LibraryRef" dataDxfId="20">
      <xmlColumnPr mapId="8" xpath="/Transistors/Part/LibraryRef" xmlDataType="string"/>
    </tableColumn>
    <tableColumn id="6" name="Footprint Path 1" uniqueName="FootprintPath1">
      <calculatedColumnFormula>CONCATENATE("Footprints\",G2,".PcbLib")</calculatedColumnFormula>
      <xmlColumnPr mapId="8" xpath="/Transistors/Part/FootprintPath1" xmlDataType="string"/>
    </tableColumn>
    <tableColumn id="7" name="Footprint Ref 1" uniqueName="FootprintRef1" dataDxfId="21">
      <xmlColumnPr mapId="8" xpath="/Transistors/Part/FootprintRef1" xmlDataType="string"/>
    </tableColumn>
    <tableColumn id="8" name="Footprint Path 2" uniqueName="FootprintPath2">
      <xmlColumnPr mapId="8" xpath="/Transistors/Part/FootprintPath2" xmlDataType="string"/>
    </tableColumn>
    <tableColumn id="9" name="Footprint Ref 2" uniqueName="FootprintRef2">
      <xmlColumnPr mapId="8" xpath="/Transistors/Part/FootprintRef2" xmlDataType="string"/>
    </tableColumn>
    <tableColumn id="10" name="Напряжение С-И/К-Э" uniqueName="10"/>
    <tableColumn id="11" name="Ток макс. " uniqueName="11"/>
    <tableColumn id="12" name="Datasheet" uniqueName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1:L175" tableType="xml" totalsRowShown="0">
  <autoFilter xmlns:etc="http://www.wps.cn/officeDocument/2017/etCustomData" ref="A1:L175" etc:filterBottomFollowUsedRange="0"/>
  <tableColumns count="12">
    <tableColumn id="1" name="Part Number" uniqueName="PartNumber" dataDxfId="22">
      <xmlColumnPr mapId="38" xpath="/Resistors/Part/PartNumber" xmlDataType="string"/>
    </tableColumn>
    <tableColumn id="2" name="Description" uniqueName="Description" dataDxfId="23">
      <xmlColumnPr mapId="38" xpath="/Resistors/Part/Description" xmlDataType="string"/>
    </tableColumn>
    <tableColumn id="3" name="Comment" uniqueName="Comment" dataDxfId="24">
      <xmlColumnPr mapId="38" xpath="/Resistors/Part/Comment" xmlDataType="string"/>
    </tableColumn>
    <tableColumn id="4" name="Library Path" uniqueName="LibraryPath" dataDxfId="25">
      <xmlColumnPr mapId="38" xpath="/Resistors/Part/LibraryPath" xmlDataType="string"/>
    </tableColumn>
    <tableColumn id="5" name="Library Ref" uniqueName="LibraryRef" dataDxfId="26">
      <xmlColumnPr mapId="38" xpath="/Resistors/Part/LibraryRef" xmlDataType="string"/>
    </tableColumn>
    <tableColumn id="6" name="Value" uniqueName="Value" dataDxfId="27">
      <xmlColumnPr mapId="38" xpath="/Resistors/Part/Value" xmlDataType="string"/>
    </tableColumn>
    <tableColumn id="7" name="Tolerance" uniqueName="Tolerance" dataDxfId="28">
      <xmlColumnPr mapId="38" xpath="/Resistors/Part/Tolerance" xmlDataType="double"/>
    </tableColumn>
    <tableColumn id="8" name="Footprint Path 1" uniqueName="FootprintPath1" dataDxfId="29">
      <xmlColumnPr mapId="38" xpath="/Resistors/Part/FootprintPath1" xmlDataType="string"/>
    </tableColumn>
    <tableColumn id="9" name="Footprint Ref 1" uniqueName="FootprintRef1" dataDxfId="30">
      <xmlColumnPr mapId="38" xpath="/Resistors/Part/FootprintRef1" xmlDataType="string"/>
    </tableColumn>
    <tableColumn id="10" name="Footprint Path 2" uniqueName="10" dataDxfId="31"/>
    <tableColumn id="11" name="Footprint Ref 2" uniqueName="11" dataDxfId="32"/>
    <tableColumn id="12" name="Datasheet" uniqueName="12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Таблица215" displayName="Таблица215" ref="A1:K3" totalsRowShown="0">
  <autoFilter xmlns:etc="http://www.wps.cn/officeDocument/2017/etCustomData" ref="A1:K3" etc:filterBottomFollowUsedRange="0"/>
  <tableColumns count="11">
    <tableColumn id="1" name="Part Number"/>
    <tableColumn id="2" name="Description"/>
    <tableColumn id="3" name="Comment"/>
    <tableColumn id="4" name="Library Path"/>
    <tableColumn id="5" name="Library Ref"/>
    <tableColumn id="6" name="Footprint Path 1"/>
    <tableColumn id="7" name="Footprint Ref 1"/>
    <tableColumn id="8" name="Repetitive peak reverse voltage (Vrrm)"/>
    <tableColumn id="9" name="Current (A)"/>
    <tableColumn id="10" name="Power (W)"/>
    <tableColumn id="14" name="Datasheet" dataDxfId="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Таблица7" displayName="Таблица7" ref="A1:U3" tableType="xml" totalsRowShown="0">
  <autoFilter xmlns:etc="http://www.wps.cn/officeDocument/2017/etCustomData" ref="A1:U3" etc:filterBottomFollowUsedRange="0"/>
  <tableColumns count="21">
    <tableColumn id="1" name="Part Number" uniqueName="PartNumber" dataDxfId="35">
      <xmlColumnPr mapId="18" xpath="/Capacitors/Part/PartNumber" xmlDataType="string"/>
    </tableColumn>
    <tableColumn id="2" name="Description" uniqueName="Description" dataDxfId="36">
      <xmlColumnPr mapId="18" xpath="/Capacitors/Part/Description" xmlDataType="string"/>
    </tableColumn>
    <tableColumn id="3" name="Comment" uniqueName="Comment" dataDxfId="37">
      <xmlColumnPr mapId="18" xpath="/Capacitors/Part/Comment" xmlDataType="string"/>
    </tableColumn>
    <tableColumn id="4" name="Library Path" uniqueName="LibraryPath" dataDxfId="38">
      <xmlColumnPr mapId="18" xpath="/Capacitors/Part/LibraryPath" xmlDataType="string"/>
    </tableColumn>
    <tableColumn id="5" name="Library Ref" uniqueName="LibraryRef" dataDxfId="39">
      <xmlColumnPr mapId="18" xpath="/Capacitors/Part/LibraryRef" xmlDataType="string"/>
    </tableColumn>
    <tableColumn id="6" name="Value" uniqueName="Value" dataDxfId="40">
      <xmlColumnPr mapId="18" xpath="/Capacitors/Part/Value" xmlDataType="string"/>
    </tableColumn>
    <tableColumn id="7" name="Footprint Path 1" uniqueName="FootprintPath1" dataDxfId="41">
      <xmlColumnPr mapId="18" xpath="/Capacitors/Part/FootprintPath1" xmlDataType="string"/>
    </tableColumn>
    <tableColumn id="8" name="Footprint Ref 1" uniqueName="FootprintRef1" dataDxfId="42">
      <xmlColumnPr mapId="18" xpath="/Capacitors/Part/FootprintRef1" xmlDataType="string"/>
    </tableColumn>
    <tableColumn id="9" name="Footprint Path 2" uniqueName="FootprintPath2" dataDxfId="43">
      <xmlColumnPr mapId="18" xpath="/Capacitors/Part/FootprintPath2" xmlDataType="string"/>
    </tableColumn>
    <tableColumn id="10" name="Footprint Ref 2" uniqueName="FootprintRef2" dataDxfId="44">
      <xmlColumnPr mapId="18" xpath="/Capacitors/Part/FootprintRef2" xmlDataType="string"/>
    </tableColumn>
    <tableColumn id="11" name="Footprint Path 3" uniqueName="FootprintPath3" dataDxfId="45">
      <xmlColumnPr mapId="18" xpath="/Capacitors/Part/FootprintPath3" xmlDataType="string"/>
    </tableColumn>
    <tableColumn id="12" name="Footprint Ref 3" uniqueName="FootprintRef3" dataDxfId="46">
      <xmlColumnPr mapId="18" xpath="/Capacitors/Part/FootprintRef3" xmlDataType="string"/>
    </tableColumn>
    <tableColumn id="13" name="Footprint Path 4" uniqueName="FootprintPath4" dataDxfId="47">
      <xmlColumnPr mapId="18" xpath="/Capacitors/Part/FootprintPath4" xmlDataType="string"/>
    </tableColumn>
    <tableColumn id="14" name="Footprint Ref 4" uniqueName="FootprintRef4" dataDxfId="48">
      <xmlColumnPr mapId="18" xpath="/Capacitors/Part/FootprintRef4" xmlDataType="string"/>
    </tableColumn>
    <tableColumn id="15" name="Footprint Path 5" uniqueName="FootprintPath5" dataDxfId="49">
      <xmlColumnPr mapId="18" xpath="/Capacitors/Part/FootprintPath5" xmlDataType="string"/>
    </tableColumn>
    <tableColumn id="16" name="Footprint Ref 5" uniqueName="FootprintRef5" dataDxfId="50">
      <xmlColumnPr mapId="18" xpath="/Capacitors/Part/FootprintRef5" xmlDataType="string"/>
    </tableColumn>
    <tableColumn id="17" name="Footprint Path 6" uniqueName="FootprintPath6" dataDxfId="51">
      <xmlColumnPr mapId="18" xpath="/Capacitors/Part/FootprintPath6" xmlDataType="string"/>
    </tableColumn>
    <tableColumn id="18" name="Footprint Ref 6" uniqueName="FootprintRef6" dataDxfId="52">
      <xmlColumnPr mapId="18" xpath="/Capacitors/Part/FootprintRef6" xmlDataType="string"/>
    </tableColumn>
    <tableColumn id="19" name="Footprint Path 7" uniqueName="FootprintPath7" dataDxfId="53">
      <xmlColumnPr mapId="18" xpath="/Capacitors/Part/FootprintPath7" xmlDataType="string"/>
    </tableColumn>
    <tableColumn id="20" name="Footprint Ref 7" uniqueName="FootprintRef7" dataDxfId="54">
      <xmlColumnPr mapId="18" xpath="/Capacitors/Part/FootprintRef7" xmlDataType="string"/>
    </tableColumn>
    <tableColumn id="21" name="Datasheet" uniqueName="21" dataDxfId="5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Таблица11" displayName="Таблица11" ref="A1:N42" tableType="xml" totalsRowShown="0">
  <autoFilter xmlns:etc="http://www.wps.cn/officeDocument/2017/etCustomData" ref="A1:N42" etc:filterBottomFollowUsedRange="0"/>
  <tableColumns count="14">
    <tableColumn id="1" name="Part Number" uniqueName="PartNumber">
      <xmlColumnPr mapId="43" xpath="/Capacitors_ceramic/Part/PartNumber" xmlDataType="string"/>
    </tableColumn>
    <tableColumn id="2" name="Description" uniqueName="Description">
      <xmlColumnPr mapId="43" xpath="/Capacitors_ceramic/Part/Description" xmlDataType="string"/>
    </tableColumn>
    <tableColumn id="4" name="Library Path" uniqueName="LibraryPath" dataDxfId="56">
      <xmlColumnPr mapId="43" xpath="/Capacitors_ceramic/Part/LibraryPath" xmlDataType="string"/>
    </tableColumn>
    <tableColumn id="5" name="Comment" uniqueName="LibraryRef" dataDxfId="57">
      <xmlColumnPr mapId="43" xpath="/Capacitors_ceramic/Part/LibraryRef" xmlDataType="string"/>
    </tableColumn>
    <tableColumn id="6" name="Library Path2" uniqueName="Value" dataDxfId="58">
      <xmlColumnPr mapId="43" xpath="/Capacitors_ceramic/Part/Value" xmlDataType="string"/>
    </tableColumn>
    <tableColumn id="7" name="Library Ref" uniqueName="Tolerance" dataDxfId="59">
      <xmlColumnPr mapId="43" xpath="/Capacitors_ceramic/Part/Tolerance" xmlDataType="double"/>
    </tableColumn>
    <tableColumn id="8" name="Value" uniqueName="Voltage" dataDxfId="60">
      <xmlColumnPr mapId="43" xpath="/Capacitors_ceramic/Part/Voltage" xmlDataType="double"/>
    </tableColumn>
    <tableColumn id="9" name="Tolerance" uniqueName="Dielectric" dataDxfId="61">
      <xmlColumnPr mapId="43" xpath="/Capacitors_ceramic/Part/Dielectric" xmlDataType="string"/>
    </tableColumn>
    <tableColumn id="10" name="Voltage (V)" uniqueName="FootprintPath1" dataDxfId="62">
      <xmlColumnPr mapId="43" xpath="/Capacitors_ceramic/Part/FootprintPath1" xmlDataType="string"/>
    </tableColumn>
    <tableColumn id="11" name="Dielectric" uniqueName="FootprintRef1" dataDxfId="63">
      <xmlColumnPr mapId="43" xpath="/Capacitors_ceramic/Part/FootprintRef1" xmlDataType="string"/>
    </tableColumn>
    <tableColumn id="12" name="Footprint Path 1" uniqueName="Capacity" dataDxfId="64">
      <xmlColumnPr mapId="43" xpath="/Capacitors_ceramic/Part/Capacity" xmlDataType="double"/>
    </tableColumn>
    <tableColumn id="3" name="Footprint Ref 1" uniqueName="12" dataDxfId="65"/>
    <tableColumn id="13" name="Capacity (nF)" uniqueName="13" dataDxfId="66"/>
    <tableColumn id="14" name="Datasheet" uniqueName="14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Таблица12" displayName="Таблица12" ref="A1:O24" tableType="xml" totalsRowShown="0">
  <autoFilter xmlns:etc="http://www.wps.cn/officeDocument/2017/etCustomData" ref="A1:O24" etc:filterBottomFollowUsedRange="0"/>
  <tableColumns count="15">
    <tableColumn id="1" name="Part Number" uniqueName="PartNumber">
      <xmlColumnPr mapId="53" xpath="/Capacitors_electrolytic/Part/PartNumber" xmlDataType="string"/>
    </tableColumn>
    <tableColumn id="2" name="Description" uniqueName="Description">
      <xmlColumnPr mapId="53" xpath="/Capacitors_electrolytic/Part/Description" xmlDataType="string"/>
    </tableColumn>
    <tableColumn id="3" name="Comment" uniqueName="Comment">
      <xmlColumnPr mapId="53" xpath="/Capacitors_electrolytic/Part/Comment" xmlDataType="string"/>
    </tableColumn>
    <tableColumn id="4" name="Library Path" uniqueName="LibraryPath">
      <xmlColumnPr mapId="53" xpath="/Capacitors_electrolytic/Part/LibraryPath" xmlDataType="string"/>
    </tableColumn>
    <tableColumn id="5" name="Library Ref" uniqueName="LibraryRef">
      <xmlColumnPr mapId="53" xpath="/Capacitors_electrolytic/Part/LibraryRef" xmlDataType="string"/>
    </tableColumn>
    <tableColumn id="6" name="Value" uniqueName="Value">
      <xmlColumnPr mapId="53" xpath="/Capacitors_electrolytic/Part/Value" xmlDataType="string"/>
    </tableColumn>
    <tableColumn id="7" name="Tolerance" uniqueName="Tolerance">
      <xmlColumnPr mapId="53" xpath="/Capacitors_electrolytic/Part/Tolerance" xmlDataType="double"/>
    </tableColumn>
    <tableColumn id="8" name="Voltage (V)" uniqueName="Voltage">
      <xmlColumnPr mapId="53" xpath="/Capacitors_electrolytic/Part/Voltage" xmlDataType="double"/>
    </tableColumn>
    <tableColumn id="9" name="Type" uniqueName="Type">
      <xmlColumnPr mapId="53" xpath="/Capacitors_electrolytic/Part/Type" xmlDataType="string"/>
    </tableColumn>
    <tableColumn id="10" name="Footprint Path 1" uniqueName="FootprintPath1">
      <xmlColumnPr mapId="53" xpath="/Capacitors_electrolytic/Part/FootprintPath1" xmlDataType="string"/>
    </tableColumn>
    <tableColumn id="11" name="Footprint Ref 1" uniqueName="FootprintRef1">
      <xmlColumnPr mapId="53" xpath="/Capacitors_electrolytic/Part/FootprintRef1" xmlDataType="string"/>
    </tableColumn>
    <tableColumn id="12" name="Capacity (uF)" uniqueName="Capacity">
      <xmlColumnPr mapId="53" xpath="/Capacitors_electrolytic/Part/Capacity" xmlDataType="double"/>
    </tableColumn>
    <tableColumn id="13" name="Footprint Path 2" uniqueName="13"/>
    <tableColumn id="14" name="Footprint Ref 2" uniqueName="14"/>
    <tableColumn id="15" name="Datasheet" uniqueName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Таблица10" displayName="Таблица10" ref="A1:Q14" tableType="xml" totalsRowShown="0">
  <autoFilter xmlns:etc="http://www.wps.cn/officeDocument/2017/etCustomData" ref="A1:Q14" etc:filterBottomFollowUsedRange="0"/>
  <tableColumns count="17">
    <tableColumn id="1" name="Part Number" uniqueName="PartNumber">
      <xmlColumnPr mapId="66" xpath="/Inductance/Part/PartNumber" xmlDataType="string"/>
    </tableColumn>
    <tableColumn id="2" name="Description" uniqueName="Description">
      <xmlColumnPr mapId="66" xpath="/Inductance/Part/Description" xmlDataType="string"/>
    </tableColumn>
    <tableColumn id="3" name="Comment" uniqueName="Comment">
      <calculatedColumnFormula>A2</calculatedColumnFormula>
      <xmlColumnPr mapId="66" xpath="/Inductance/Part/Comment" xmlDataType="string"/>
    </tableColumn>
    <tableColumn id="6" name="Library Path" uniqueName="4" dataDxfId="68"/>
    <tableColumn id="7" name="Library Ref" uniqueName="5" dataDxfId="69"/>
    <tableColumn id="8" name="Footprint Path 1" uniqueName="FootprintPath1" dataDxfId="70">
      <calculatedColumnFormula>CONCATENATE("Footprints\Inductance\",G2,".PcbLib")</calculatedColumnFormula>
      <xmlColumnPr mapId="66" xpath="/Inductance/Part/FootprintPath1" xmlDataType="string"/>
    </tableColumn>
    <tableColumn id="9" name="Footprint Ref 1" uniqueName="FootprintRef1" dataDxfId="71">
      <xmlColumnPr mapId="66" xpath="/Inductance/Part/FootprintRef1" xmlDataType="string"/>
    </tableColumn>
    <tableColumn id="10" name="Footprint Path 2" uniqueName="FootprintPath2" dataDxfId="72">
      <calculatedColumnFormula>CONCATENATE("Footprints\Inductance\",I2,".PcbLib")</calculatedColumnFormula>
      <xmlColumnPr mapId="66" xpath="/Inductance/Part/FootprintPath2" xmlDataType="string"/>
    </tableColumn>
    <tableColumn id="11" name="Footprint Ref 2" uniqueName="FootprintRef2" dataDxfId="73">
      <xmlColumnPr mapId="66" xpath="/Inductance/Part/FootprintRef2" xmlDataType="string"/>
    </tableColumn>
    <tableColumn id="12" name="Footprint Path 3" uniqueName="FootprintPath3" dataDxfId="74">
      <calculatedColumnFormula>CONCATENATE("Footprints\Inductance\",K2,".PcbLib")</calculatedColumnFormula>
      <xmlColumnPr mapId="66" xpath="/Inductance/Part/FootprintPath3" xmlDataType="string"/>
    </tableColumn>
    <tableColumn id="13" name="Footprint Ref 3" uniqueName="FootprintRef3" dataDxfId="75">
      <xmlColumnPr mapId="66" xpath="/Inductance/Part/FootprintRef3" xmlDataType="string"/>
    </tableColumn>
    <tableColumn id="14" name="Footprint Path 4" uniqueName="FootprintPath4" dataDxfId="76">
      <calculatedColumnFormula>CONCATENATE("Footprints\Inductance\",M2,".PcbLib")</calculatedColumnFormula>
      <xmlColumnPr mapId="66" xpath="/Inductance/Part/FootprintPath4" xmlDataType="string"/>
    </tableColumn>
    <tableColumn id="15" name="Footprint Ref 4" uniqueName="FootprintRef4" dataDxfId="77">
      <xmlColumnPr mapId="66" xpath="/Inductance/Part/FootprintRef4" xmlDataType="string"/>
    </tableColumn>
    <tableColumn id="4" name="Inductance (μH)" uniqueName="Inductance" dataDxfId="78">
      <xmlColumnPr mapId="66" xpath="/Inductance/Part/Inductance" xmlDataType="string"/>
    </tableColumn>
    <tableColumn id="5" name="Current (A)" uniqueName="Current" dataDxfId="79">
      <xmlColumnPr mapId="66" xpath="/Inductance/Part/Current" xmlDataType="string"/>
    </tableColumn>
    <tableColumn id="16" name="Value" uniqueName="Value" dataDxfId="80">
      <calculatedColumnFormula>N2</calculatedColumnFormula>
      <xmlColumnPr mapId="66" xpath="/Inductance/Part/Value" xmlDataType="string"/>
    </tableColumn>
    <tableColumn id="17" name="Datasheet" uniqueName="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Таблица1014" displayName="Таблица1014" ref="A1:L2" totalsRowShown="0">
  <autoFilter xmlns:etc="http://www.wps.cn/officeDocument/2017/etCustomData" ref="A1:L2" etc:filterBottomFollowUsedRange="0"/>
  <tableColumns count="12">
    <tableColumn id="1" name="Part Number"/>
    <tableColumn id="2" name="Description"/>
    <tableColumn id="3" name="Comment">
      <calculatedColumnFormula>A2</calculatedColumnFormula>
    </tableColumn>
    <tableColumn id="6" name="Library Path" dataDxfId="81"/>
    <tableColumn id="7" name="Library Ref" dataDxfId="82"/>
    <tableColumn id="8" name="Footprint Path 1" dataDxfId="83">
      <calculatedColumnFormula>CONCATENATE("Footprints\",G2,".PcbLib")</calculatedColumnFormula>
    </tableColumn>
    <tableColumn id="9" name="Footprint Ref 1" dataDxfId="84"/>
    <tableColumn id="10" name="Footprint Path 2" dataDxfId="85">
      <calculatedColumnFormula>CONCATENATE("Footprints\Inductance\",I2,".PcbLib")</calculatedColumnFormula>
    </tableColumn>
    <tableColumn id="11" name="Footprint Ref 2" dataDxfId="86"/>
    <tableColumn id="12" name="Напряжение" dataDxfId="87">
      <calculatedColumnFormula>CONCATENATE("Footprints\Inductance\",K2,".PcbLib")</calculatedColumnFormula>
    </tableColumn>
    <tableColumn id="13" name="Ток макс" dataDxfId="88"/>
    <tableColumn id="14" name="Datasheet" dataDxfId="89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8" name="Таблица8" displayName="Таблица8" ref="A1:L13" tableType="xml" totalsRowShown="0">
  <autoFilter xmlns:etc="http://www.wps.cn/officeDocument/2017/etCustomData" ref="A1:L13" etc:filterBottomFollowUsedRange="0"/>
  <tableColumns count="12">
    <tableColumn id="1" name="Part Number" uniqueName="PartNumber" dataDxfId="90">
      <xmlColumnPr mapId="73" xpath="/Other/Part/PartNumber" xmlDataType="string"/>
    </tableColumn>
    <tableColumn id="2" name="Description" uniqueName="Description" dataDxfId="91">
      <xmlColumnPr mapId="73" xpath="/Other/Part/Description" xmlDataType="string"/>
    </tableColumn>
    <tableColumn id="3" name="Comment" uniqueName="Comment" dataDxfId="92">
      <calculatedColumnFormula>A2</calculatedColumnFormula>
      <xmlColumnPr mapId="73" xpath="/Other/Part/Comment" xmlDataType="string"/>
    </tableColumn>
    <tableColumn id="4" name="Library Path" uniqueName="LibraryPath" dataDxfId="93">
      <calculatedColumnFormula>CONCATENATE("Schematic\",A2,".SchLib")</calculatedColumnFormula>
      <xmlColumnPr mapId="73" xpath="/Other/Part/LibraryPath" xmlDataType="string"/>
    </tableColumn>
    <tableColumn id="5" name="Library Ref" uniqueName="LibraryRef" dataDxfId="94">
      <calculatedColumnFormula>A2</calculatedColumnFormula>
      <xmlColumnPr mapId="73" xpath="/Other/Part/LibraryRef" xmlDataType="string"/>
    </tableColumn>
    <tableColumn id="6" name="Footprint Path 1" uniqueName="FootprintPath1" dataDxfId="95">
      <xmlColumnPr mapId="73" xpath="/Other/Part/FootprintPath1" xmlDataType="string"/>
    </tableColumn>
    <tableColumn id="7" name="Footprint Ref 1" uniqueName="FootprintRef1" dataDxfId="96">
      <xmlColumnPr mapId="73" xpath="/Other/Part/FootprintRef1" xmlDataType="string"/>
    </tableColumn>
    <tableColumn id="8" name="Footprint Path 2" uniqueName="FootprintPath2" dataDxfId="97">
      <xmlColumnPr mapId="73" xpath="/Other/Part/FootprintPath2" xmlDataType="string"/>
    </tableColumn>
    <tableColumn id="9" name="Footprint Ref 2" uniqueName="FootprintRef2" dataDxfId="98">
      <xmlColumnPr mapId="73" xpath="/Other/Part/FootprintRef2" xmlDataType="string"/>
    </tableColumn>
    <tableColumn id="10" name="Footprint Path 3" uniqueName="FootprintPath3" dataDxfId="99">
      <calculatedColumnFormula>CONCATENATE("Footprints\",K2,".PcbLib")</calculatedColumnFormula>
      <xmlColumnPr mapId="73" xpath="/Other/Part/FootprintPath3" xmlDataType="string"/>
    </tableColumn>
    <tableColumn id="11" name="Footprint Ref 3" uniqueName="FootprintRef3" dataDxfId="100">
      <xmlColumnPr mapId="73" xpath="/Other/Part/FootprintRef3" xmlDataType="string"/>
    </tableColumn>
    <tableColumn id="12" name="Datasheet" uniqueName="12" dataDxfId="10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9" name="Таблица9" displayName="Таблица9" ref="A1:J31" tableType="xml" totalsRowShown="0">
  <autoFilter xmlns:etc="http://www.wps.cn/officeDocument/2017/etCustomData" ref="A1:J31" etc:filterBottomFollowUsedRange="0"/>
  <tableColumns count="10">
    <tableColumn id="1" name="Part Number" uniqueName="PartNumber">
      <xmlColumnPr mapId="12" xpath="/Connectors/Part/PartNumber" xmlDataType="string"/>
    </tableColumn>
    <tableColumn id="2" name="Description" uniqueName="Description">
      <xmlColumnPr mapId="12" xpath="/Connectors/Part/Description" xmlDataType="string"/>
    </tableColumn>
    <tableColumn id="3" name="Comment" uniqueName="Comment" dataDxfId="102">
      <xmlColumnPr mapId="12" xpath="/Connectors/Part/Comment" xmlDataType="string"/>
    </tableColumn>
    <tableColumn id="4" name="Library Path" uniqueName="LibraryPath" dataDxfId="103">
      <xmlColumnPr mapId="12" xpath="/Connectors/Part/LibraryPath" xmlDataType="string"/>
    </tableColumn>
    <tableColumn id="5" name="Library Ref" uniqueName="LibraryRef">
      <xmlColumnPr mapId="12" xpath="/Connectors/Part/LibraryRef" xmlDataType="string"/>
    </tableColumn>
    <tableColumn id="6" name="Footprint Path 1" uniqueName="FootprintPath1" dataDxfId="104">
      <xmlColumnPr mapId="12" xpath="/Connectors/Part/FootprintPath1" xmlDataType="string"/>
    </tableColumn>
    <tableColumn id="7" name="Footprint Ref 1" uniqueName="FootprintRef1">
      <xmlColumnPr mapId="12" xpath="/Connectors/Part/FootprintRef1" xmlDataType="string"/>
    </tableColumn>
    <tableColumn id="8" name="Footprint Path 2" uniqueName="8"/>
    <tableColumn id="9" name="Footprint Ref 2" uniqueName="9"/>
    <tableColumn id="10" name="Datasheet" uniqueName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A1:T38"/>
  <sheetViews>
    <sheetView zoomScale="85" zoomScaleNormal="85" topLeftCell="A12" workbookViewId="0">
      <selection activeCell="H42" sqref="H42"/>
    </sheetView>
  </sheetViews>
  <sheetFormatPr defaultColWidth="9" defaultRowHeight="14.4"/>
  <cols>
    <col min="1" max="1" width="21.4444444444444" customWidth="1"/>
    <col min="2" max="2" width="103.222222222222" customWidth="1"/>
    <col min="3" max="3" width="21.4444444444444" customWidth="1"/>
    <col min="4" max="4" width="38" customWidth="1"/>
    <col min="5" max="5" width="21.4444444444444" customWidth="1"/>
    <col min="6" max="6" width="38.2222222222222" customWidth="1"/>
    <col min="7" max="7" width="21.4444444444444" customWidth="1"/>
    <col min="8" max="8" width="22.7777777777778" customWidth="1"/>
    <col min="9" max="9" width="18.2222222222222" customWidth="1"/>
    <col min="10" max="10" width="16.4444444444444" customWidth="1"/>
    <col min="11" max="11" width="14.5555555555556" customWidth="1"/>
    <col min="12" max="12" width="13.2222222222222" customWidth="1"/>
  </cols>
  <sheetData>
    <row r="1" ht="15.6" spans="1:2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N1" s="1"/>
      <c r="O1" s="1"/>
      <c r="P1" s="1"/>
      <c r="Q1" s="1"/>
      <c r="R1" s="1"/>
      <c r="S1" s="1"/>
      <c r="T1" s="1"/>
    </row>
    <row r="2" spans="1:7">
      <c r="A2" s="2" t="s">
        <v>12</v>
      </c>
      <c r="B2" s="2" t="s">
        <v>13</v>
      </c>
      <c r="C2" s="2" t="str">
        <f t="shared" ref="C2:C13" si="0">A2</f>
        <v>STM32F407VGT6</v>
      </c>
      <c r="D2" s="2" t="str">
        <f t="shared" ref="D2:D25" si="1">CONCATENATE("Schematic\",A2,".SchLib")</f>
        <v>Schematic\STM32F407VGT6.SchLib</v>
      </c>
      <c r="E2" s="2" t="str">
        <f t="shared" ref="E2:E25" si="2">A2</f>
        <v>STM32F407VGT6</v>
      </c>
      <c r="F2" s="2" t="str">
        <f t="shared" ref="F2:F25" si="3">CONCATENATE("Footprints\",G2,".PcbLib")</f>
        <v>Footprints\LQFP100.PcbLib</v>
      </c>
      <c r="G2" s="2" t="s">
        <v>14</v>
      </c>
    </row>
    <row r="3" spans="1:7">
      <c r="A3" s="2" t="s">
        <v>15</v>
      </c>
      <c r="B3" s="2" t="s">
        <v>16</v>
      </c>
      <c r="C3" s="2" t="str">
        <f t="shared" si="0"/>
        <v>USBLC6-4</v>
      </c>
      <c r="D3" s="2" t="str">
        <f t="shared" si="1"/>
        <v>Schematic\USBLC6-4.SchLib</v>
      </c>
      <c r="E3" s="2" t="str">
        <f t="shared" si="2"/>
        <v>USBLC6-4</v>
      </c>
      <c r="F3" s="2" t="str">
        <f t="shared" si="3"/>
        <v>Footprints\SOT23-6.PcbLib</v>
      </c>
      <c r="G3" s="2" t="s">
        <v>17</v>
      </c>
    </row>
    <row r="4" spans="1:7">
      <c r="A4" s="2" t="s">
        <v>18</v>
      </c>
      <c r="B4" s="2" t="s">
        <v>19</v>
      </c>
      <c r="C4" s="2" t="str">
        <f t="shared" si="0"/>
        <v>MAX485CSA</v>
      </c>
      <c r="D4" s="2" t="str">
        <f t="shared" si="1"/>
        <v>Schematic\MAX485CSA.SchLib</v>
      </c>
      <c r="E4" s="2" t="str">
        <f t="shared" si="2"/>
        <v>MAX485CSA</v>
      </c>
      <c r="F4" s="2" t="str">
        <f t="shared" si="3"/>
        <v>Footprints\SOIC-8.PcbLib</v>
      </c>
      <c r="G4" s="2" t="s">
        <v>20</v>
      </c>
    </row>
    <row r="5" spans="1:7">
      <c r="A5" t="s">
        <v>21</v>
      </c>
      <c r="B5" t="s">
        <v>13</v>
      </c>
      <c r="C5" s="2" t="str">
        <f t="shared" si="0"/>
        <v>STM32F103C8T6</v>
      </c>
      <c r="D5" t="str">
        <f t="shared" si="1"/>
        <v>Schematic\STM32F103C8T6.SchLib</v>
      </c>
      <c r="E5" t="str">
        <f t="shared" si="2"/>
        <v>STM32F103C8T6</v>
      </c>
      <c r="F5" t="str">
        <f t="shared" si="3"/>
        <v>Footprints\LQFP48.PcbLib</v>
      </c>
      <c r="G5" t="s">
        <v>22</v>
      </c>
    </row>
    <row r="6" spans="1:7">
      <c r="A6" t="s">
        <v>23</v>
      </c>
      <c r="B6" t="s">
        <v>24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20</v>
      </c>
    </row>
    <row r="7" spans="1:7">
      <c r="A7" t="s">
        <v>25</v>
      </c>
      <c r="B7" t="s">
        <v>26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27</v>
      </c>
    </row>
    <row r="8" spans="1:11">
      <c r="A8" t="s">
        <v>28</v>
      </c>
      <c r="B8" t="s">
        <v>29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Footprints\SOIC-16.PcbLib</v>
      </c>
      <c r="G8" t="s">
        <v>30</v>
      </c>
      <c r="H8" t="s">
        <v>31</v>
      </c>
      <c r="I8" t="s">
        <v>32</v>
      </c>
      <c r="J8" t="s">
        <v>31</v>
      </c>
      <c r="K8" t="s">
        <v>33</v>
      </c>
    </row>
    <row r="9" spans="1:7">
      <c r="A9" t="s">
        <v>34</v>
      </c>
      <c r="B9" t="s">
        <v>35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36</v>
      </c>
    </row>
    <row r="10" spans="1:7">
      <c r="A10" t="s">
        <v>37</v>
      </c>
      <c r="B10" t="s">
        <v>26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27</v>
      </c>
    </row>
    <row r="11" spans="1:7">
      <c r="A11" t="s">
        <v>38</v>
      </c>
      <c r="B11" t="s">
        <v>39</v>
      </c>
      <c r="C11" s="2" t="str">
        <f t="shared" si="0"/>
        <v>VND5025</v>
      </c>
      <c r="D11" t="str">
        <f t="shared" si="1"/>
        <v>Schematic\VND5025.SchLib</v>
      </c>
      <c r="E11" t="str">
        <f t="shared" si="2"/>
        <v>VND5025</v>
      </c>
      <c r="F11" t="str">
        <f t="shared" si="3"/>
        <v>Footprints\POWERSSO24.PcbLib</v>
      </c>
      <c r="G11" t="s">
        <v>40</v>
      </c>
    </row>
    <row r="12" spans="1:7">
      <c r="A12" t="s">
        <v>41</v>
      </c>
      <c r="B12" t="s">
        <v>42</v>
      </c>
      <c r="C12" s="2" t="str">
        <f t="shared" si="0"/>
        <v>SN74LVC1G17DCKR</v>
      </c>
      <c r="D12" t="str">
        <f t="shared" si="1"/>
        <v>Schematic\SN74LVC1G17DCKR.SchLib</v>
      </c>
      <c r="E12" t="str">
        <f t="shared" si="2"/>
        <v>SN74LVC1G17DCKR</v>
      </c>
      <c r="F12" t="str">
        <f t="shared" si="3"/>
        <v>Footprints\SC-70-5.PcbLib</v>
      </c>
      <c r="G12" t="s">
        <v>43</v>
      </c>
    </row>
    <row r="13" spans="1:7">
      <c r="A13" t="s">
        <v>44</v>
      </c>
      <c r="B13" t="s">
        <v>45</v>
      </c>
      <c r="C13" s="2" t="str">
        <f t="shared" si="0"/>
        <v>74LVC1G74DP,125</v>
      </c>
      <c r="D13" t="str">
        <f t="shared" si="1"/>
        <v>Schematic\74LVC1G74DP,125.SchLib</v>
      </c>
      <c r="E13" t="str">
        <f t="shared" si="2"/>
        <v>74LVC1G74DP,125</v>
      </c>
      <c r="F13" t="str">
        <f t="shared" si="3"/>
        <v>Footprints\SOP65P400X110-8N.PcbLib</v>
      </c>
      <c r="G13" t="s">
        <v>46</v>
      </c>
    </row>
    <row r="14" spans="1:7">
      <c r="A14" t="s">
        <v>47</v>
      </c>
      <c r="B14" t="s">
        <v>48</v>
      </c>
      <c r="C14" s="2" t="s">
        <v>47</v>
      </c>
      <c r="D14" t="str">
        <f t="shared" si="1"/>
        <v>Schematic\RT8279GSP.SchLib</v>
      </c>
      <c r="E14" t="str">
        <f t="shared" si="2"/>
        <v>RT8279GSP</v>
      </c>
      <c r="F14" t="str">
        <f t="shared" si="3"/>
        <v>Footprints\8SOP(Exposed_Pad).PcbLib</v>
      </c>
      <c r="G14" t="s">
        <v>49</v>
      </c>
    </row>
    <row r="15" spans="1:7">
      <c r="A15" t="s">
        <v>50</v>
      </c>
      <c r="B15" t="s">
        <v>51</v>
      </c>
      <c r="C15" s="2" t="str">
        <f t="shared" ref="C15:C20" si="4">A15</f>
        <v>TP4056</v>
      </c>
      <c r="D15" t="str">
        <f t="shared" si="1"/>
        <v>Schematic\TP4056.SchLib</v>
      </c>
      <c r="E15" t="str">
        <f t="shared" si="2"/>
        <v>TP4056</v>
      </c>
      <c r="F15" t="str">
        <f t="shared" si="3"/>
        <v>Footprints\8SOP(Exposed_Pad).PcbLib</v>
      </c>
      <c r="G15" t="s">
        <v>49</v>
      </c>
    </row>
    <row r="16" spans="1:7">
      <c r="A16" t="s">
        <v>52</v>
      </c>
      <c r="B16" t="s">
        <v>53</v>
      </c>
      <c r="C16" s="2" t="str">
        <f t="shared" si="4"/>
        <v>LM2623AMMX</v>
      </c>
      <c r="D16" t="str">
        <f t="shared" si="1"/>
        <v>Schematic\LM2623AMMX.SchLib</v>
      </c>
      <c r="E16" t="str">
        <f t="shared" si="2"/>
        <v>LM2623AMMX</v>
      </c>
      <c r="F16" t="str">
        <f t="shared" si="3"/>
        <v>Footprints\VSSOP-8.PcbLib</v>
      </c>
      <c r="G16" t="s">
        <v>54</v>
      </c>
    </row>
    <row r="17" spans="1:7">
      <c r="A17" t="s">
        <v>55</v>
      </c>
      <c r="B17" t="s">
        <v>56</v>
      </c>
      <c r="C17" s="2" t="str">
        <f t="shared" si="4"/>
        <v>DW01</v>
      </c>
      <c r="D17" t="str">
        <f t="shared" si="1"/>
        <v>Schematic\DW01.SchLib</v>
      </c>
      <c r="E17" t="str">
        <f t="shared" si="2"/>
        <v>DW01</v>
      </c>
      <c r="F17" t="str">
        <f t="shared" si="3"/>
        <v>Footprints\SOT23-6.PcbLib</v>
      </c>
      <c r="G17" t="s">
        <v>17</v>
      </c>
    </row>
    <row r="18" spans="1:7">
      <c r="A18" t="s">
        <v>57</v>
      </c>
      <c r="B18" t="s">
        <v>58</v>
      </c>
      <c r="C18" s="2" t="str">
        <f t="shared" si="4"/>
        <v>arduino_nano</v>
      </c>
      <c r="D18" t="str">
        <f t="shared" si="1"/>
        <v>Schematic\arduino_nano.SchLib</v>
      </c>
      <c r="E18" t="str">
        <f t="shared" si="2"/>
        <v>arduino_nano</v>
      </c>
      <c r="F18" t="str">
        <f t="shared" si="3"/>
        <v>Footprints\arduino_nano.PcbLib</v>
      </c>
      <c r="G18" t="s">
        <v>57</v>
      </c>
    </row>
    <row r="19" spans="1:7">
      <c r="A19" t="s">
        <v>59</v>
      </c>
      <c r="B19" t="s">
        <v>60</v>
      </c>
      <c r="C19" s="2" t="str">
        <f t="shared" si="4"/>
        <v>TPS61088</v>
      </c>
      <c r="D19" t="str">
        <f t="shared" si="1"/>
        <v>Schematic\TPS61088.SchLib</v>
      </c>
      <c r="E19" t="str">
        <f t="shared" si="2"/>
        <v>TPS61088</v>
      </c>
      <c r="F19" t="str">
        <f t="shared" si="3"/>
        <v>Footprints\VQFN-RHL.PcbLib</v>
      </c>
      <c r="G19" t="s">
        <v>61</v>
      </c>
    </row>
    <row r="20" spans="1:7">
      <c r="A20" s="27" t="s">
        <v>62</v>
      </c>
      <c r="B20" t="s">
        <v>63</v>
      </c>
      <c r="C20" s="2" t="str">
        <f t="shared" si="4"/>
        <v>RT8509A</v>
      </c>
      <c r="D20" t="str">
        <f t="shared" si="1"/>
        <v>Schematic\RT8509A.SchLib</v>
      </c>
      <c r="E20" t="str">
        <f t="shared" si="2"/>
        <v>RT8509A</v>
      </c>
      <c r="F20" t="str">
        <f t="shared" si="3"/>
        <v>Footprints\WDFN5x5-12.PcbLib</v>
      </c>
      <c r="G20" t="s">
        <v>64</v>
      </c>
    </row>
    <row r="21" spans="1:7">
      <c r="A21" t="s">
        <v>65</v>
      </c>
      <c r="B21" t="s">
        <v>66</v>
      </c>
      <c r="C21" s="2" t="s">
        <v>65</v>
      </c>
      <c r="D21" t="str">
        <f t="shared" si="1"/>
        <v>Schematic\VN7140AS.SchLib</v>
      </c>
      <c r="E21" t="str">
        <f t="shared" si="2"/>
        <v>VN7140AS</v>
      </c>
      <c r="F21" t="str">
        <f t="shared" si="3"/>
        <v>Footprints\SOP8.PcbLib</v>
      </c>
      <c r="G21" t="s">
        <v>67</v>
      </c>
    </row>
    <row r="22" spans="1:7">
      <c r="A22" t="s">
        <v>68</v>
      </c>
      <c r="B22" t="s">
        <v>69</v>
      </c>
      <c r="C22" s="2" t="str">
        <f>A22</f>
        <v>74HC4051PW,118</v>
      </c>
      <c r="D22" t="str">
        <f t="shared" si="1"/>
        <v>Schematic\74HC4051PW,118.SchLib</v>
      </c>
      <c r="E22" t="str">
        <f t="shared" si="2"/>
        <v>74HC4051PW,118</v>
      </c>
      <c r="F22" t="str">
        <f t="shared" si="3"/>
        <v>Footprints\TSSOP-16.PcbLib</v>
      </c>
      <c r="G22" t="s">
        <v>70</v>
      </c>
    </row>
    <row r="23" spans="1:7">
      <c r="A23" t="s">
        <v>71</v>
      </c>
      <c r="B23" t="s">
        <v>72</v>
      </c>
      <c r="C23" s="2" t="str">
        <f>A23</f>
        <v>sim800l</v>
      </c>
      <c r="D23" t="str">
        <f t="shared" si="1"/>
        <v>Schematic\sim800l.SchLib</v>
      </c>
      <c r="E23" t="str">
        <f t="shared" si="2"/>
        <v>sim800l</v>
      </c>
      <c r="F23" t="str">
        <f t="shared" si="3"/>
        <v>Footprints\sim800l.PcbLib</v>
      </c>
      <c r="G23" t="s">
        <v>71</v>
      </c>
    </row>
    <row r="24" spans="1:7">
      <c r="A24" t="s">
        <v>73</v>
      </c>
      <c r="B24" t="s">
        <v>74</v>
      </c>
      <c r="C24" s="2" t="str">
        <f>A24</f>
        <v>74HC139D,653</v>
      </c>
      <c r="D24" t="str">
        <f t="shared" si="1"/>
        <v>Schematic\74HC139D,653.SchLib</v>
      </c>
      <c r="E24" t="str">
        <f t="shared" si="2"/>
        <v>74HC139D,653</v>
      </c>
      <c r="F24" t="str">
        <f t="shared" si="3"/>
        <v>Footprints\SOIC-16.PcbLib</v>
      </c>
      <c r="G24" t="s">
        <v>30</v>
      </c>
    </row>
    <row r="25" spans="1:7">
      <c r="A25" t="s">
        <v>75</v>
      </c>
      <c r="B25" t="s">
        <v>76</v>
      </c>
      <c r="C25" s="2" t="str">
        <f>A25</f>
        <v>CD4555BM</v>
      </c>
      <c r="D25" t="str">
        <f t="shared" si="1"/>
        <v>Schematic\CD4555BM.SchLib</v>
      </c>
      <c r="E25" t="str">
        <f t="shared" si="2"/>
        <v>CD4555BM</v>
      </c>
      <c r="F25" t="str">
        <f t="shared" si="3"/>
        <v>Footprints\SOIC-16.PcbLib</v>
      </c>
      <c r="G25" t="s">
        <v>30</v>
      </c>
    </row>
    <row r="26" spans="1:7">
      <c r="A26" t="s">
        <v>77</v>
      </c>
      <c r="B26" t="s">
        <v>78</v>
      </c>
      <c r="C26" s="2" t="s">
        <v>77</v>
      </c>
      <c r="D26" t="s">
        <v>79</v>
      </c>
      <c r="E26" t="s">
        <v>77</v>
      </c>
      <c r="F26" t="s">
        <v>80</v>
      </c>
      <c r="G26" t="s">
        <v>30</v>
      </c>
    </row>
    <row r="27" spans="1:7">
      <c r="A27" t="s">
        <v>81</v>
      </c>
      <c r="B27" t="s">
        <v>82</v>
      </c>
      <c r="C27" s="2" t="str">
        <f t="shared" ref="C27:C37" si="5">A27</f>
        <v>MT3608</v>
      </c>
      <c r="D27" t="str">
        <f t="shared" ref="D27:D35" si="6">CONCATENATE("Schematic\",A27,".SchLib")</f>
        <v>Schematic\MT3608.SchLib</v>
      </c>
      <c r="E27" t="str">
        <f t="shared" ref="E27:E35" si="7">A27</f>
        <v>MT3608</v>
      </c>
      <c r="F27" t="str">
        <f>CONCATENATE("Footprints\",G27,".PcbLib")</f>
        <v>Footprints\SOT23-6.PcbLib</v>
      </c>
      <c r="G27" t="s">
        <v>17</v>
      </c>
    </row>
    <row r="28" spans="1:9">
      <c r="A28" t="s">
        <v>83</v>
      </c>
      <c r="B28" t="s">
        <v>84</v>
      </c>
      <c r="C28" s="2" t="str">
        <f t="shared" si="5"/>
        <v>CD4013BE</v>
      </c>
      <c r="D28" t="str">
        <f t="shared" si="6"/>
        <v>Schematic\CD4013BE.SchLib</v>
      </c>
      <c r="E28" t="str">
        <f t="shared" si="7"/>
        <v>CD4013BE</v>
      </c>
      <c r="F28" t="s">
        <v>85</v>
      </c>
      <c r="G28" t="s">
        <v>86</v>
      </c>
      <c r="H28" t="s">
        <v>85</v>
      </c>
      <c r="I28" t="s">
        <v>87</v>
      </c>
    </row>
    <row r="29" spans="1:7">
      <c r="A29" t="s">
        <v>88</v>
      </c>
      <c r="B29" t="s">
        <v>89</v>
      </c>
      <c r="C29" s="2" t="str">
        <f t="shared" si="5"/>
        <v>STM32F103C8T6_board</v>
      </c>
      <c r="D29" t="str">
        <f t="shared" si="6"/>
        <v>Schematic\STM32F103C8T6_board.SchLib</v>
      </c>
      <c r="E29" t="str">
        <f t="shared" si="7"/>
        <v>STM32F103C8T6_board</v>
      </c>
      <c r="F29" t="str">
        <f t="shared" ref="F29:F37" si="8">CONCATENATE("Footprints\",G29,".PcbLib")</f>
        <v>Footprints\STM32F103C8T6_board.PcbLib</v>
      </c>
      <c r="G29" t="s">
        <v>88</v>
      </c>
    </row>
    <row r="30" spans="1:7">
      <c r="A30" t="s">
        <v>90</v>
      </c>
      <c r="B30" t="s">
        <v>91</v>
      </c>
      <c r="C30" s="2" t="str">
        <f t="shared" si="5"/>
        <v>RPI</v>
      </c>
      <c r="D30" t="str">
        <f t="shared" si="6"/>
        <v>Schematic\RPI.SchLib</v>
      </c>
      <c r="E30" t="str">
        <f t="shared" si="7"/>
        <v>RPI</v>
      </c>
      <c r="F30" t="str">
        <f t="shared" si="8"/>
        <v>Footprints\RPI.PcbLib</v>
      </c>
      <c r="G30" t="s">
        <v>90</v>
      </c>
    </row>
    <row r="31" spans="1:7">
      <c r="A31" t="s">
        <v>92</v>
      </c>
      <c r="B31" t="s">
        <v>93</v>
      </c>
      <c r="C31" s="2" t="str">
        <f t="shared" si="5"/>
        <v>LTC4418</v>
      </c>
      <c r="D31" t="str">
        <f t="shared" si="6"/>
        <v>Schematic\LTC4418.SchLib</v>
      </c>
      <c r="E31" t="str">
        <f t="shared" si="7"/>
        <v>LTC4418</v>
      </c>
      <c r="F31" t="str">
        <f t="shared" si="8"/>
        <v>Footprints\QFN50.PcbLib</v>
      </c>
      <c r="G31" t="s">
        <v>94</v>
      </c>
    </row>
    <row r="32" spans="1:7">
      <c r="A32" t="s">
        <v>95</v>
      </c>
      <c r="B32" t="s">
        <v>96</v>
      </c>
      <c r="C32" s="2" t="str">
        <f t="shared" si="5"/>
        <v>NE555</v>
      </c>
      <c r="D32" t="str">
        <f t="shared" si="6"/>
        <v>Schematic\NE555.SchLib</v>
      </c>
      <c r="E32" t="str">
        <f t="shared" si="7"/>
        <v>NE555</v>
      </c>
      <c r="F32" t="str">
        <f t="shared" si="8"/>
        <v>Footprints\SOIC-8.PcbLib</v>
      </c>
      <c r="G32" t="s">
        <v>20</v>
      </c>
    </row>
    <row r="33" spans="1:7">
      <c r="A33" t="s">
        <v>97</v>
      </c>
      <c r="B33" t="s">
        <v>98</v>
      </c>
      <c r="C33" s="2" t="str">
        <f t="shared" si="5"/>
        <v>LM393</v>
      </c>
      <c r="D33" t="str">
        <f t="shared" si="6"/>
        <v>Schematic\LM393.SchLib</v>
      </c>
      <c r="E33" t="str">
        <f t="shared" si="7"/>
        <v>LM393</v>
      </c>
      <c r="F33" t="str">
        <f t="shared" si="8"/>
        <v>Footprints\SOIC-8.PcbLib</v>
      </c>
      <c r="G33" t="s">
        <v>20</v>
      </c>
    </row>
    <row r="34" spans="1:7">
      <c r="A34" t="s">
        <v>99</v>
      </c>
      <c r="B34" t="s">
        <v>100</v>
      </c>
      <c r="C34" s="2" t="str">
        <f t="shared" si="5"/>
        <v>LD7575</v>
      </c>
      <c r="D34" t="str">
        <f t="shared" si="6"/>
        <v>Schematic\LD7575.SchLib</v>
      </c>
      <c r="E34" t="str">
        <f t="shared" si="7"/>
        <v>LD7575</v>
      </c>
      <c r="F34" t="str">
        <f t="shared" si="8"/>
        <v>Footprints\SOP8.PcbLib</v>
      </c>
      <c r="G34" t="s">
        <v>67</v>
      </c>
    </row>
    <row r="35" spans="1:7">
      <c r="A35" t="s">
        <v>101</v>
      </c>
      <c r="B35" t="s">
        <v>102</v>
      </c>
      <c r="C35" s="2" t="str">
        <f t="shared" si="5"/>
        <v>MAX668</v>
      </c>
      <c r="D35" t="str">
        <f t="shared" si="6"/>
        <v>Schematic\MAX668.SchLib</v>
      </c>
      <c r="E35" t="str">
        <f t="shared" si="7"/>
        <v>MAX668</v>
      </c>
      <c r="F35" t="str">
        <f t="shared" si="8"/>
        <v>Footprints\uSOP10.PcbLib</v>
      </c>
      <c r="G35" t="s">
        <v>103</v>
      </c>
    </row>
    <row r="36" spans="1:7">
      <c r="A36" t="s">
        <v>104</v>
      </c>
      <c r="B36" t="s">
        <v>105</v>
      </c>
      <c r="C36" s="2" t="str">
        <f t="shared" si="5"/>
        <v>LTV354T</v>
      </c>
      <c r="D36" t="str">
        <f>CONCATENATE("Schematic\",E36,".SchLib")</f>
        <v>Schematic\LTV354.SchLib</v>
      </c>
      <c r="E36" t="s">
        <v>106</v>
      </c>
      <c r="F36" t="str">
        <f t="shared" si="8"/>
        <v>Footprints\SOP4-2_54.PcbLib</v>
      </c>
      <c r="G36" t="s">
        <v>107</v>
      </c>
    </row>
    <row r="37" spans="1:7">
      <c r="A37" t="s">
        <v>108</v>
      </c>
      <c r="B37" t="s">
        <v>109</v>
      </c>
      <c r="C37" s="2" t="str">
        <f t="shared" si="5"/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 t="shared" si="8"/>
        <v>Footprints\SC-70-5.PcbLib</v>
      </c>
      <c r="G37" t="s">
        <v>43</v>
      </c>
    </row>
    <row r="38" spans="1:7">
      <c r="A38" t="s">
        <v>110</v>
      </c>
      <c r="B38" t="s">
        <v>111</v>
      </c>
      <c r="C38" s="2" t="s">
        <v>110</v>
      </c>
      <c r="D38" t="s">
        <v>112</v>
      </c>
      <c r="E38" t="s">
        <v>110</v>
      </c>
      <c r="F38" t="s">
        <v>113</v>
      </c>
      <c r="G38" t="s">
        <v>114</v>
      </c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1"/>
  <sheetViews>
    <sheetView workbookViewId="0">
      <selection activeCell="E15" sqref="E15"/>
    </sheetView>
  </sheetViews>
  <sheetFormatPr defaultColWidth="9" defaultRowHeight="14.4"/>
  <cols>
    <col min="1" max="1" width="13.5555555555556" customWidth="1"/>
    <col min="2" max="2" width="33.5555555555556" customWidth="1"/>
    <col min="3" max="3" width="11.2222222222222" customWidth="1"/>
    <col min="4" max="4" width="31.2222222222222" customWidth="1"/>
    <col min="5" max="5" width="14.7777777777778" customWidth="1"/>
    <col min="6" max="6" width="25.2222222222222" customWidth="1"/>
    <col min="7" max="7" width="16.5555555555556" customWidth="1"/>
    <col min="8" max="8" width="19.5555555555556" customWidth="1"/>
    <col min="9" max="9" width="12.2222222222222" style="2" customWidth="1"/>
    <col min="10" max="10" width="13.2222222222222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115</v>
      </c>
      <c r="I1" s="2" t="s">
        <v>116</v>
      </c>
      <c r="J1" t="s">
        <v>11</v>
      </c>
    </row>
    <row r="2" spans="1:9">
      <c r="A2" s="2" t="s">
        <v>117</v>
      </c>
      <c r="B2" t="str">
        <f t="shared" ref="B2:B11" si="0">CONCATENATE("Диод шоттки на ",H2," В, ном. ток ",I2," А")</f>
        <v>Диод шоттки на 30 В, ном. ток 3 А</v>
      </c>
      <c r="C2" s="2" t="str">
        <f t="shared" ref="C2:C11" si="1">A2</f>
        <v>SK33</v>
      </c>
      <c r="D2" s="2" t="s">
        <v>118</v>
      </c>
      <c r="E2" s="2" t="s">
        <v>119</v>
      </c>
      <c r="F2" s="2" t="str">
        <f t="shared" ref="F2:F11" si="2">CONCATENATE("Footprints\",G2,".PcbLib")</f>
        <v>Footprints\SMC.PcbLib</v>
      </c>
      <c r="G2" s="2" t="s">
        <v>120</v>
      </c>
      <c r="H2" s="25">
        <v>30</v>
      </c>
      <c r="I2" s="25">
        <v>3</v>
      </c>
    </row>
    <row r="3" spans="1:9">
      <c r="A3" s="2" t="s">
        <v>121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118</v>
      </c>
      <c r="E3" s="2" t="s">
        <v>119</v>
      </c>
      <c r="F3" s="2" t="str">
        <f t="shared" si="2"/>
        <v>Footprints\SMC.PcbLib</v>
      </c>
      <c r="G3" s="2" t="s">
        <v>120</v>
      </c>
      <c r="H3" s="26" t="s">
        <v>122</v>
      </c>
      <c r="I3" s="25">
        <v>3</v>
      </c>
    </row>
    <row r="4" spans="1:9">
      <c r="A4" t="s">
        <v>123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118</v>
      </c>
      <c r="E4" t="s">
        <v>119</v>
      </c>
      <c r="F4" t="str">
        <f t="shared" si="2"/>
        <v>Footprints\SOD-323.PcbLib</v>
      </c>
      <c r="G4" t="s">
        <v>124</v>
      </c>
      <c r="H4" s="25">
        <v>30</v>
      </c>
      <c r="I4" s="25" t="s">
        <v>125</v>
      </c>
    </row>
    <row r="5" spans="1:9">
      <c r="A5" t="s">
        <v>126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118</v>
      </c>
      <c r="E5" t="s">
        <v>119</v>
      </c>
      <c r="F5" t="str">
        <f t="shared" si="2"/>
        <v>Footprints\TO-277.PcbLib</v>
      </c>
      <c r="G5" t="s">
        <v>127</v>
      </c>
      <c r="H5" s="25">
        <v>45</v>
      </c>
      <c r="I5" s="25">
        <v>10</v>
      </c>
    </row>
    <row r="6" spans="1:9">
      <c r="A6" t="s">
        <v>128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118</v>
      </c>
      <c r="E6" t="s">
        <v>119</v>
      </c>
      <c r="F6" t="str">
        <f t="shared" si="2"/>
        <v>Footprints\SMC.PcbLib</v>
      </c>
      <c r="G6" t="s">
        <v>120</v>
      </c>
      <c r="H6" s="25">
        <v>100</v>
      </c>
      <c r="I6" s="25">
        <v>8</v>
      </c>
    </row>
    <row r="7" spans="1:9">
      <c r="A7" t="s">
        <v>129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118</v>
      </c>
      <c r="E7" t="s">
        <v>119</v>
      </c>
      <c r="F7" t="str">
        <f t="shared" si="2"/>
        <v>Footprints\SMA.PcbLib</v>
      </c>
      <c r="G7" t="s">
        <v>130</v>
      </c>
      <c r="H7" s="25">
        <v>40</v>
      </c>
      <c r="I7" s="25" t="s">
        <v>131</v>
      </c>
    </row>
    <row r="8" spans="1:9">
      <c r="A8" t="s">
        <v>132</v>
      </c>
      <c r="B8" t="str">
        <f t="shared" si="0"/>
        <v>Диод шоттки на 70 В, ном. ток 0,7 А</v>
      </c>
      <c r="C8" t="str">
        <f t="shared" si="1"/>
        <v>BAS70-04-7-F</v>
      </c>
      <c r="D8" s="2" t="s">
        <v>133</v>
      </c>
      <c r="E8" t="s">
        <v>132</v>
      </c>
      <c r="F8" t="str">
        <f t="shared" si="2"/>
        <v>Footprints\SOT23.PcbLib</v>
      </c>
      <c r="G8" t="s">
        <v>134</v>
      </c>
      <c r="H8" s="25">
        <v>70</v>
      </c>
      <c r="I8" s="25" t="s">
        <v>135</v>
      </c>
    </row>
    <row r="9" spans="1:9">
      <c r="A9" t="s">
        <v>136</v>
      </c>
      <c r="B9" t="str">
        <f t="shared" si="0"/>
        <v>Диод шоттки на 60 В, ном. ток 5 А</v>
      </c>
      <c r="C9" t="str">
        <f t="shared" si="1"/>
        <v>SK56</v>
      </c>
      <c r="D9" s="2" t="s">
        <v>118</v>
      </c>
      <c r="E9" t="s">
        <v>119</v>
      </c>
      <c r="F9" t="str">
        <f t="shared" si="2"/>
        <v>Footprints\SMC.PcbLib</v>
      </c>
      <c r="G9" s="2" t="s">
        <v>120</v>
      </c>
      <c r="H9" s="25">
        <v>60</v>
      </c>
      <c r="I9" s="25">
        <v>5</v>
      </c>
    </row>
    <row r="10" spans="1:9">
      <c r="A10" t="s">
        <v>137</v>
      </c>
      <c r="B10" t="str">
        <f t="shared" si="0"/>
        <v>Диод шоттки на 40 В, ном. ток 5 А</v>
      </c>
      <c r="C10" t="str">
        <f t="shared" si="1"/>
        <v>SK54</v>
      </c>
      <c r="D10" s="2" t="s">
        <v>118</v>
      </c>
      <c r="E10" t="s">
        <v>119</v>
      </c>
      <c r="F10" t="str">
        <f t="shared" si="2"/>
        <v>Footprints\SMC.PcbLib</v>
      </c>
      <c r="G10" s="2" t="s">
        <v>120</v>
      </c>
      <c r="H10" s="25">
        <v>40</v>
      </c>
      <c r="I10" s="25">
        <v>5</v>
      </c>
    </row>
    <row r="11" spans="1:9">
      <c r="A11" t="s">
        <v>138</v>
      </c>
      <c r="B11" t="str">
        <f t="shared" si="0"/>
        <v>Диод шоттки на 50 В, ном. ток 5 А</v>
      </c>
      <c r="C11" t="str">
        <f t="shared" si="1"/>
        <v>B550C</v>
      </c>
      <c r="D11" s="2" t="s">
        <v>118</v>
      </c>
      <c r="E11" t="s">
        <v>119</v>
      </c>
      <c r="F11" t="str">
        <f t="shared" si="2"/>
        <v>Footprints\SMC.PcbLib</v>
      </c>
      <c r="G11" s="2" t="s">
        <v>120</v>
      </c>
      <c r="H11" s="25">
        <v>50</v>
      </c>
      <c r="I11" s="25">
        <v>5</v>
      </c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M21"/>
  <sheetViews>
    <sheetView tabSelected="1" workbookViewId="0">
      <selection activeCell="L15" sqref="L15"/>
    </sheetView>
  </sheetViews>
  <sheetFormatPr defaultColWidth="9" defaultRowHeight="14.4"/>
  <cols>
    <col min="1" max="1" width="13.7777777777778" customWidth="1"/>
    <col min="2" max="2" width="46.7777777777778" customWidth="1"/>
    <col min="3" max="3" width="11.4444444444444" customWidth="1"/>
    <col min="4" max="4" width="20.5555555555556" customWidth="1"/>
    <col min="5" max="5" width="12" customWidth="1"/>
    <col min="6" max="6" width="23.4444444444444" customWidth="1"/>
    <col min="7" max="7" width="15.7777777777778" customWidth="1"/>
    <col min="8" max="8" width="19.7777777777778" customWidth="1"/>
    <col min="9" max="9" width="21.5555555555556" customWidth="1"/>
    <col min="10" max="10" width="12" customWidth="1"/>
    <col min="11" max="11" width="7.77777777777778" customWidth="1"/>
    <col min="12" max="12" width="10.7777777777778" customWidth="1"/>
    <col min="13" max="13" width="15.2222222222222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115</v>
      </c>
      <c r="I1" t="s">
        <v>139</v>
      </c>
      <c r="J1" t="s">
        <v>140</v>
      </c>
      <c r="K1" t="s">
        <v>141</v>
      </c>
      <c r="L1" t="s">
        <v>142</v>
      </c>
      <c r="M1" t="s">
        <v>11</v>
      </c>
    </row>
    <row r="2" ht="13.05" customHeight="1" spans="1:12">
      <c r="A2" s="2" t="s">
        <v>143</v>
      </c>
      <c r="B2" s="2" t="s">
        <v>144</v>
      </c>
      <c r="C2" s="2" t="s">
        <v>143</v>
      </c>
      <c r="D2" s="2" t="s">
        <v>145</v>
      </c>
      <c r="E2" s="2" t="s">
        <v>146</v>
      </c>
      <c r="F2" s="2" t="s">
        <v>147</v>
      </c>
      <c r="G2" s="2" t="s">
        <v>124</v>
      </c>
      <c r="H2" s="2" t="s">
        <v>148</v>
      </c>
      <c r="I2" s="2" t="s">
        <v>149</v>
      </c>
      <c r="J2" s="2" t="s">
        <v>150</v>
      </c>
      <c r="K2" s="2" t="s">
        <v>151</v>
      </c>
      <c r="L2" s="15">
        <v>0.05</v>
      </c>
    </row>
    <row r="3" spans="1:12">
      <c r="A3" t="s">
        <v>152</v>
      </c>
      <c r="B3" s="2" t="s">
        <v>153</v>
      </c>
      <c r="C3" t="s">
        <v>152</v>
      </c>
      <c r="D3" s="2" t="s">
        <v>145</v>
      </c>
      <c r="E3" s="2" t="s">
        <v>146</v>
      </c>
      <c r="F3" s="2" t="s">
        <v>154</v>
      </c>
      <c r="G3" t="s">
        <v>155</v>
      </c>
      <c r="H3" s="2" t="s">
        <v>156</v>
      </c>
      <c r="I3" s="2">
        <v>5</v>
      </c>
      <c r="J3" s="2" t="s">
        <v>157</v>
      </c>
      <c r="K3" s="2" t="s">
        <v>158</v>
      </c>
      <c r="L3" s="15">
        <v>0.02</v>
      </c>
    </row>
    <row r="4" spans="1:12">
      <c r="A4" t="s">
        <v>159</v>
      </c>
      <c r="B4" s="2" t="s">
        <v>160</v>
      </c>
      <c r="C4" t="s">
        <v>159</v>
      </c>
      <c r="D4" s="2" t="s">
        <v>161</v>
      </c>
      <c r="E4" t="s">
        <v>162</v>
      </c>
      <c r="F4" s="2" t="s">
        <v>163</v>
      </c>
      <c r="G4" t="s">
        <v>164</v>
      </c>
      <c r="H4" s="2" t="s">
        <v>165</v>
      </c>
      <c r="I4" s="2">
        <v>5</v>
      </c>
      <c r="J4" s="2" t="s">
        <v>166</v>
      </c>
      <c r="K4" s="2" t="s">
        <v>167</v>
      </c>
      <c r="L4" s="15">
        <v>0.02</v>
      </c>
    </row>
    <row r="5" spans="1:12">
      <c r="A5" t="s">
        <v>168</v>
      </c>
      <c r="B5" t="s">
        <v>169</v>
      </c>
      <c r="C5" t="s">
        <v>168</v>
      </c>
      <c r="D5" s="2" t="s">
        <v>145</v>
      </c>
      <c r="E5" s="2" t="s">
        <v>146</v>
      </c>
      <c r="F5" s="2" t="s">
        <v>154</v>
      </c>
      <c r="G5" t="s">
        <v>155</v>
      </c>
      <c r="H5" s="2" t="s">
        <v>148</v>
      </c>
      <c r="I5" s="2" t="s">
        <v>149</v>
      </c>
      <c r="J5" s="2" t="s">
        <v>157</v>
      </c>
      <c r="K5" s="2" t="s">
        <v>151</v>
      </c>
      <c r="L5" s="15">
        <v>0.02</v>
      </c>
    </row>
    <row r="6" spans="1:12">
      <c r="A6" t="s">
        <v>170</v>
      </c>
      <c r="B6" t="s">
        <v>171</v>
      </c>
      <c r="C6" s="2" t="s">
        <v>170</v>
      </c>
      <c r="D6" s="3" t="s">
        <v>172</v>
      </c>
      <c r="E6" t="s">
        <v>170</v>
      </c>
      <c r="F6" s="3" t="s">
        <v>173</v>
      </c>
      <c r="G6" t="s">
        <v>174</v>
      </c>
      <c r="H6">
        <v>10</v>
      </c>
      <c r="I6">
        <v>25</v>
      </c>
      <c r="J6">
        <v>1</v>
      </c>
      <c r="K6" s="2" t="s">
        <v>175</v>
      </c>
      <c r="L6" s="15">
        <v>0.05</v>
      </c>
    </row>
    <row r="7" spans="8:11">
      <c r="H7" s="2"/>
      <c r="I7" s="2"/>
      <c r="J7" s="2"/>
      <c r="K7" s="2"/>
    </row>
    <row r="8" spans="8:11">
      <c r="H8" s="2"/>
      <c r="I8" s="2"/>
      <c r="J8" s="2"/>
      <c r="K8" s="2"/>
    </row>
    <row r="9" spans="8:11">
      <c r="H9" s="2"/>
      <c r="I9" s="2"/>
      <c r="J9" s="2"/>
      <c r="K9" s="2"/>
    </row>
    <row r="10" spans="8:11">
      <c r="H10" s="2"/>
      <c r="I10" s="2"/>
      <c r="J10" s="2"/>
      <c r="K10" s="2"/>
    </row>
    <row r="11" spans="8:11">
      <c r="H11" s="2"/>
      <c r="I11" s="2"/>
      <c r="J11" s="2"/>
      <c r="K11" s="2"/>
    </row>
    <row r="12" spans="8:11">
      <c r="H12" s="2"/>
      <c r="I12" s="2"/>
      <c r="J12" s="2"/>
      <c r="K12" s="2"/>
    </row>
    <row r="13" spans="8:11">
      <c r="H13" s="2"/>
      <c r="I13" s="2"/>
      <c r="J13" s="2"/>
      <c r="K13" s="2"/>
    </row>
    <row r="14" spans="8:11">
      <c r="H14" s="2"/>
      <c r="I14" s="2"/>
      <c r="J14" s="2"/>
      <c r="K14" s="2"/>
    </row>
    <row r="15" spans="8:11">
      <c r="H15" s="2"/>
      <c r="I15" s="2"/>
      <c r="J15" s="2"/>
      <c r="K15" s="2"/>
    </row>
    <row r="16" spans="8:11">
      <c r="H16" s="2"/>
      <c r="I16" s="2"/>
      <c r="J16" s="2"/>
      <c r="K16" s="2"/>
    </row>
    <row r="17" spans="8:11">
      <c r="H17" s="2"/>
      <c r="I17" s="2"/>
      <c r="J17" s="2"/>
      <c r="K17" s="2"/>
    </row>
    <row r="18" spans="8:11">
      <c r="H18" s="2"/>
      <c r="I18" s="2"/>
      <c r="J18" s="2"/>
      <c r="K18" s="2"/>
    </row>
    <row r="19" spans="8:11">
      <c r="H19" s="2"/>
      <c r="I19" s="2"/>
      <c r="J19" s="2"/>
      <c r="K19" s="2"/>
    </row>
    <row r="20" spans="8:11">
      <c r="H20" s="2"/>
      <c r="I20" s="2"/>
      <c r="J20" s="2"/>
      <c r="K20" s="2"/>
    </row>
    <row r="21" spans="8:11">
      <c r="H21" s="2"/>
      <c r="I21" s="2"/>
      <c r="J21" s="2"/>
      <c r="K21" s="2"/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A1:L9"/>
  <sheetViews>
    <sheetView workbookViewId="0">
      <selection activeCell="F13" sqref="F13"/>
    </sheetView>
  </sheetViews>
  <sheetFormatPr defaultColWidth="9" defaultRowHeight="14.4"/>
  <cols>
    <col min="1" max="1" width="20.4444444444444" customWidth="1"/>
    <col min="2" max="2" width="49.5555555555556" customWidth="1"/>
    <col min="3" max="3" width="15.7777777777778" customWidth="1"/>
    <col min="4" max="4" width="26.4444444444444" customWidth="1"/>
    <col min="5" max="5" width="11.7777777777778" customWidth="1"/>
    <col min="6" max="6" width="16.4444444444444" customWidth="1"/>
    <col min="7" max="7" width="15.4444444444444" customWidth="1"/>
    <col min="8" max="8" width="19.5555555555556" customWidth="1"/>
    <col min="9" max="9" width="11.7777777777778" customWidth="1"/>
    <col min="10" max="10" width="8" customWidth="1"/>
    <col min="11" max="11" width="10.4444444444444" customWidth="1"/>
    <col min="12" max="12" width="13.111111111111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115</v>
      </c>
      <c r="I1" t="s">
        <v>140</v>
      </c>
      <c r="J1" t="s">
        <v>141</v>
      </c>
      <c r="K1" t="s">
        <v>176</v>
      </c>
      <c r="L1" t="s">
        <v>11</v>
      </c>
    </row>
    <row r="2" spans="1:10">
      <c r="A2" t="s">
        <v>177</v>
      </c>
      <c r="B2" t="str">
        <f t="shared" ref="B2:B9" si="0">IF(K2="RS-485","Защитный диод для линии RS-485",CONCATENATE("Защитный диод на ",H2," В, рассеиваемая мощность ",I2," Вт"))</f>
        <v>Защитный диод на 24 В, рассеиваемая мощность 600 Вт</v>
      </c>
      <c r="C2" t="str">
        <f t="shared" ref="C2:C9" si="1">A2</f>
        <v>SMBJ24A</v>
      </c>
      <c r="D2" t="str">
        <f t="shared" ref="D2:D9" si="2">CONCATENATE("Schematic\TVS\",E2,".SchLib")</f>
        <v>Schematic\TVS\TVS_1_1dir.SchLib</v>
      </c>
      <c r="E2" t="s">
        <v>178</v>
      </c>
      <c r="F2" t="str">
        <f t="shared" ref="F2:F9" si="3">CONCATENATE("Footprints\",G2,".PcbLib")</f>
        <v>Footprints\SMB.PcbLib</v>
      </c>
      <c r="G2" t="s">
        <v>179</v>
      </c>
      <c r="H2">
        <v>24</v>
      </c>
      <c r="I2">
        <v>600</v>
      </c>
      <c r="J2" t="str">
        <f t="shared" ref="J2:J9" si="4">CONCATENATE(H2," В")</f>
        <v>24 В</v>
      </c>
    </row>
    <row r="3" spans="1:11">
      <c r="A3" t="s">
        <v>180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181</v>
      </c>
      <c r="F3" t="str">
        <f t="shared" si="3"/>
        <v>Footprints\SOT23-3.PcbLib</v>
      </c>
      <c r="G3" t="s">
        <v>164</v>
      </c>
      <c r="K3" t="s">
        <v>182</v>
      </c>
    </row>
    <row r="4" spans="1:10">
      <c r="A4" t="s">
        <v>183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178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0">
      <c r="A5" t="s">
        <v>184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178</v>
      </c>
      <c r="F5" t="str">
        <f t="shared" si="3"/>
        <v>Footprints\SMB.PcbLib</v>
      </c>
      <c r="G5" t="s">
        <v>179</v>
      </c>
      <c r="H5">
        <v>18</v>
      </c>
      <c r="I5">
        <v>600</v>
      </c>
      <c r="J5" t="str">
        <f t="shared" si="4"/>
        <v>18 В</v>
      </c>
    </row>
    <row r="6" spans="1:10">
      <c r="A6" t="s">
        <v>185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178</v>
      </c>
      <c r="F6" t="str">
        <f t="shared" si="3"/>
        <v>Footprints\SOD523.PcbLib</v>
      </c>
      <c r="G6" t="s">
        <v>186</v>
      </c>
      <c r="H6">
        <v>5</v>
      </c>
      <c r="I6">
        <v>330</v>
      </c>
      <c r="J6" t="str">
        <f t="shared" si="4"/>
        <v>5 В</v>
      </c>
    </row>
    <row r="7" spans="1:10">
      <c r="A7" t="s">
        <v>187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178</v>
      </c>
      <c r="F7" t="str">
        <f t="shared" si="3"/>
        <v>Footprints\SMB.PcbLib</v>
      </c>
      <c r="G7" t="s">
        <v>179</v>
      </c>
      <c r="H7">
        <v>15</v>
      </c>
      <c r="I7">
        <v>600</v>
      </c>
      <c r="J7" t="str">
        <f t="shared" si="4"/>
        <v>15 В</v>
      </c>
    </row>
    <row r="8" spans="1:10">
      <c r="A8" t="s">
        <v>188</v>
      </c>
      <c r="B8" t="str">
        <f t="shared" si="0"/>
        <v>Защитный диод на 13 В, рассеиваемая мощность 600 Вт</v>
      </c>
      <c r="C8" t="str">
        <f t="shared" si="1"/>
        <v>SMBJ13A-TR</v>
      </c>
      <c r="D8" t="str">
        <f t="shared" si="2"/>
        <v>Schematic\TVS\TVS_1_1dir.SchLib</v>
      </c>
      <c r="E8" t="s">
        <v>178</v>
      </c>
      <c r="F8" t="str">
        <f t="shared" si="3"/>
        <v>Footprints\SMB.PcbLib</v>
      </c>
      <c r="G8" t="s">
        <v>179</v>
      </c>
      <c r="H8">
        <v>13</v>
      </c>
      <c r="I8">
        <v>600</v>
      </c>
      <c r="J8" t="str">
        <f t="shared" si="4"/>
        <v>13 В</v>
      </c>
    </row>
    <row r="9" spans="1:10">
      <c r="A9" t="s">
        <v>189</v>
      </c>
      <c r="B9" t="str">
        <f t="shared" si="0"/>
        <v>Защитный диод на 30 В, рассеиваемая мощность 1500 Вт</v>
      </c>
      <c r="C9" t="str">
        <f t="shared" si="1"/>
        <v>SM15T33A</v>
      </c>
      <c r="D9" t="str">
        <f t="shared" si="2"/>
        <v>Schematic\TVS\TVS_1_1dir.SchLib</v>
      </c>
      <c r="E9" t="s">
        <v>178</v>
      </c>
      <c r="F9" t="str">
        <f t="shared" si="3"/>
        <v>Footprints\SMC.PcbLib</v>
      </c>
      <c r="G9" t="s">
        <v>120</v>
      </c>
      <c r="H9">
        <v>30</v>
      </c>
      <c r="I9">
        <v>1500</v>
      </c>
      <c r="J9" t="str">
        <f t="shared" si="4"/>
        <v>30 В</v>
      </c>
    </row>
  </sheetData>
  <pageMargins left="0.7" right="0.7" top="0.75" bottom="0.75" header="0.3" footer="0.3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4"/>
  <dimension ref="A1:S10"/>
  <sheetViews>
    <sheetView zoomScale="85" zoomScaleNormal="85" workbookViewId="0">
      <selection activeCell="D17" sqref="D17"/>
    </sheetView>
  </sheetViews>
  <sheetFormatPr defaultColWidth="9" defaultRowHeight="14.4"/>
  <cols>
    <col min="1" max="1" width="14.7777777777778" customWidth="1"/>
    <col min="2" max="2" width="22" customWidth="1"/>
    <col min="3" max="3" width="12.4444444444444" customWidth="1"/>
    <col min="4" max="4" width="35.7777777777778" customWidth="1"/>
    <col min="5" max="5" width="24.4444444444444" customWidth="1"/>
    <col min="6" max="6" width="23.2222222222222" customWidth="1"/>
    <col min="7" max="7" width="16.7777777777778" customWidth="1"/>
    <col min="8" max="8" width="29.7777777777778" customWidth="1"/>
    <col min="9" max="9" width="16.7777777777778" customWidth="1"/>
    <col min="12" max="12" width="13.8888888888889" customWidth="1"/>
  </cols>
  <sheetData>
    <row r="1" ht="15.6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190</v>
      </c>
      <c r="K1" s="1" t="s">
        <v>191</v>
      </c>
      <c r="L1" s="1" t="s">
        <v>11</v>
      </c>
      <c r="M1" s="1"/>
      <c r="N1" s="1"/>
      <c r="O1" s="1"/>
      <c r="P1" s="1"/>
      <c r="Q1" s="1"/>
      <c r="R1" s="1"/>
      <c r="S1" s="1"/>
    </row>
    <row r="2" ht="15.6" spans="1:11">
      <c r="A2" s="16" t="s">
        <v>192</v>
      </c>
      <c r="B2" s="16" t="s">
        <v>193</v>
      </c>
      <c r="C2" s="2" t="str">
        <f t="shared" ref="C2:C10" si="0">A2</f>
        <v>50N06</v>
      </c>
      <c r="D2" s="16" t="s">
        <v>194</v>
      </c>
      <c r="E2" s="16" t="s">
        <v>195</v>
      </c>
      <c r="F2" s="2" t="str">
        <f t="shared" ref="F2:F9" si="1">CONCATENATE("Footprints\",G2,".PcbLib")</f>
        <v>Footprints\DPAK.PcbLib</v>
      </c>
      <c r="G2" s="16" t="s">
        <v>196</v>
      </c>
      <c r="H2" s="2" t="str">
        <f>CONCATENATE("Footprints\",I2,".PcbLib")</f>
        <v>Footprints\DPAK_termopad.PcbLib</v>
      </c>
      <c r="I2" s="2" t="s">
        <v>197</v>
      </c>
      <c r="J2" t="s">
        <v>198</v>
      </c>
      <c r="K2" t="s">
        <v>199</v>
      </c>
    </row>
    <row r="3" ht="15.6" spans="1:11">
      <c r="A3" s="16" t="s">
        <v>200</v>
      </c>
      <c r="B3" s="16" t="s">
        <v>193</v>
      </c>
      <c r="C3" s="2" t="str">
        <f t="shared" si="0"/>
        <v>100N03A</v>
      </c>
      <c r="D3" s="16" t="s">
        <v>194</v>
      </c>
      <c r="E3" s="16" t="s">
        <v>195</v>
      </c>
      <c r="F3" s="2" t="str">
        <f t="shared" si="1"/>
        <v>Footprints\DPAK.PcbLib</v>
      </c>
      <c r="G3" s="16" t="s">
        <v>196</v>
      </c>
      <c r="H3" s="2" t="str">
        <f>CONCATENATE("Footprints\",I3,".PcbLib")</f>
        <v>Footprints\DPAK_termopad.PcbLib</v>
      </c>
      <c r="I3" s="2" t="s">
        <v>197</v>
      </c>
      <c r="J3" t="s">
        <v>201</v>
      </c>
      <c r="K3" t="s">
        <v>202</v>
      </c>
    </row>
    <row r="4" ht="15.6" spans="1:9">
      <c r="A4" s="16" t="s">
        <v>203</v>
      </c>
      <c r="B4" s="16" t="s">
        <v>193</v>
      </c>
      <c r="C4" s="2" t="str">
        <f t="shared" si="0"/>
        <v>AO3400A</v>
      </c>
      <c r="D4" s="16" t="s">
        <v>194</v>
      </c>
      <c r="E4" s="16" t="s">
        <v>204</v>
      </c>
      <c r="F4" s="2" t="str">
        <f t="shared" si="1"/>
        <v>Footprints\SOT23-3.PcbLib</v>
      </c>
      <c r="G4" s="16" t="s">
        <v>164</v>
      </c>
      <c r="H4" s="16"/>
      <c r="I4" s="2"/>
    </row>
    <row r="5" ht="15.6" spans="1:9">
      <c r="A5" s="16" t="s">
        <v>205</v>
      </c>
      <c r="B5" s="16" t="s">
        <v>206</v>
      </c>
      <c r="C5" s="2" t="str">
        <f t="shared" si="0"/>
        <v>AO3401A</v>
      </c>
      <c r="D5" s="16" t="s">
        <v>207</v>
      </c>
      <c r="E5" s="16" t="s">
        <v>208</v>
      </c>
      <c r="F5" s="2" t="str">
        <f t="shared" si="1"/>
        <v>Footprints\SOT23-3.PcbLib</v>
      </c>
      <c r="G5" s="16" t="s">
        <v>164</v>
      </c>
      <c r="H5" s="2"/>
      <c r="I5" s="2"/>
    </row>
    <row r="6" ht="15.6" spans="1:9">
      <c r="A6" s="16" t="s">
        <v>209</v>
      </c>
      <c r="B6" s="16" t="s">
        <v>206</v>
      </c>
      <c r="C6" s="2" t="str">
        <f t="shared" si="0"/>
        <v>SUD50P06-15</v>
      </c>
      <c r="D6" s="16" t="s">
        <v>207</v>
      </c>
      <c r="E6" s="16" t="s">
        <v>210</v>
      </c>
      <c r="F6" s="2" t="str">
        <f t="shared" si="1"/>
        <v>Footprints\DPAK.PcbLib</v>
      </c>
      <c r="G6" s="16" t="s">
        <v>196</v>
      </c>
      <c r="H6" s="2" t="str">
        <f>CONCATENATE("Footprints\",I6,".PcbLib")</f>
        <v>Footprints\DPAK_termopad.PcbLib</v>
      </c>
      <c r="I6" s="2" t="s">
        <v>197</v>
      </c>
    </row>
    <row r="7" ht="15.6" spans="1:8">
      <c r="A7" s="1" t="s">
        <v>211</v>
      </c>
      <c r="B7" s="16" t="s">
        <v>206</v>
      </c>
      <c r="C7" s="2" t="str">
        <f t="shared" si="0"/>
        <v>AO4411</v>
      </c>
      <c r="D7" s="16" t="s">
        <v>212</v>
      </c>
      <c r="E7" s="16" t="s">
        <v>213</v>
      </c>
      <c r="F7" t="str">
        <f t="shared" si="1"/>
        <v>Footprints\SOIC-8.PcbLib</v>
      </c>
      <c r="G7" s="1" t="s">
        <v>20</v>
      </c>
      <c r="H7" s="2"/>
    </row>
    <row r="8" ht="15.6" spans="1:11">
      <c r="A8" s="1" t="s">
        <v>214</v>
      </c>
      <c r="B8" s="1" t="s">
        <v>215</v>
      </c>
      <c r="C8" s="2" t="str">
        <f t="shared" si="0"/>
        <v>AO4812</v>
      </c>
      <c r="D8" s="16" t="s">
        <v>216</v>
      </c>
      <c r="E8" s="1" t="s">
        <v>214</v>
      </c>
      <c r="F8" t="str">
        <f t="shared" si="1"/>
        <v>Footprints\SOP8.PcbLib</v>
      </c>
      <c r="G8" s="1" t="s">
        <v>67</v>
      </c>
      <c r="J8" t="s">
        <v>201</v>
      </c>
      <c r="K8" t="s">
        <v>217</v>
      </c>
    </row>
    <row r="9" ht="15.6" spans="1:11">
      <c r="A9" s="1" t="s">
        <v>218</v>
      </c>
      <c r="B9" s="1" t="s">
        <v>219</v>
      </c>
      <c r="C9" s="2" t="str">
        <f t="shared" si="0"/>
        <v>bc807</v>
      </c>
      <c r="D9" s="16" t="s">
        <v>220</v>
      </c>
      <c r="E9" s="1" t="s">
        <v>221</v>
      </c>
      <c r="F9" t="str">
        <f t="shared" si="1"/>
        <v>Footprints\SOT23-3.PcbLib</v>
      </c>
      <c r="G9" s="16" t="s">
        <v>164</v>
      </c>
      <c r="J9" t="s">
        <v>222</v>
      </c>
      <c r="K9" t="s">
        <v>223</v>
      </c>
    </row>
    <row r="10" ht="15.6" spans="1:11">
      <c r="A10" s="1" t="s">
        <v>224</v>
      </c>
      <c r="B10" s="1" t="s">
        <v>225</v>
      </c>
      <c r="C10" s="2" t="str">
        <f t="shared" si="0"/>
        <v>AUIRF1405ZSTRL</v>
      </c>
      <c r="D10" s="16" t="s">
        <v>194</v>
      </c>
      <c r="E10" s="16" t="s">
        <v>195</v>
      </c>
      <c r="F10" s="2" t="str">
        <f t="shared" ref="F10" si="2">CONCATENATE("Footprints\",G10,".PcbLib")</f>
        <v>Footprints\D2PAK.PcbLib</v>
      </c>
      <c r="G10" s="16" t="s">
        <v>226</v>
      </c>
      <c r="H10" s="2"/>
      <c r="I10" s="2"/>
      <c r="J10" t="s">
        <v>227</v>
      </c>
      <c r="K10" t="s">
        <v>228</v>
      </c>
    </row>
  </sheetData>
  <pageMargins left="0.7" right="0.7" top="0.75" bottom="0.75" header="0.3" footer="0.3"/>
  <headerFooter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5"/>
  <dimension ref="A1:O177"/>
  <sheetViews>
    <sheetView workbookViewId="0">
      <selection activeCell="N13" sqref="N13"/>
    </sheetView>
  </sheetViews>
  <sheetFormatPr defaultColWidth="9" defaultRowHeight="14.4"/>
  <cols>
    <col min="1" max="1" width="21.5555555555556" customWidth="1"/>
    <col min="2" max="2" width="44.5555555555556" customWidth="1"/>
    <col min="3" max="3" width="12.2222222222222" customWidth="1"/>
    <col min="4" max="4" width="24.4444444444444" customWidth="1"/>
    <col min="5" max="5" width="13" customWidth="1"/>
    <col min="6" max="6" width="8.22222222222222" customWidth="1"/>
    <col min="7" max="7" width="12.2222222222222" customWidth="1"/>
    <col min="8" max="8" width="32" customWidth="1"/>
    <col min="9" max="9" width="16.7777777777778" customWidth="1"/>
    <col min="10" max="10" width="31.2222222222222" customWidth="1"/>
    <col min="11" max="11" width="18.2222222222222" customWidth="1"/>
    <col min="12" max="12" width="16.7777777777778" customWidth="1"/>
    <col min="13" max="13" width="18.2222222222222" customWidth="1"/>
    <col min="14" max="14" width="16.7777777777778" customWidth="1"/>
  </cols>
  <sheetData>
    <row r="1" ht="15.6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141</v>
      </c>
      <c r="G1" s="1" t="s">
        <v>229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11</v>
      </c>
      <c r="M1" s="1"/>
      <c r="N1" s="1"/>
      <c r="O1" s="1"/>
    </row>
    <row r="2" ht="15.6" spans="1:12">
      <c r="A2" s="16" t="s">
        <v>230</v>
      </c>
      <c r="B2" s="16" t="s">
        <v>231</v>
      </c>
      <c r="C2" s="16" t="s">
        <v>232</v>
      </c>
      <c r="D2" s="16" t="s">
        <v>233</v>
      </c>
      <c r="E2" s="16" t="s">
        <v>232</v>
      </c>
      <c r="F2" s="16" t="s">
        <v>234</v>
      </c>
      <c r="G2" s="21" t="s">
        <v>235</v>
      </c>
      <c r="H2" s="16" t="s">
        <v>236</v>
      </c>
      <c r="I2" s="16" t="s">
        <v>237</v>
      </c>
      <c r="J2" s="1"/>
      <c r="K2" s="1"/>
      <c r="L2" s="1"/>
    </row>
    <row r="3" ht="15.6" spans="1:12">
      <c r="A3" s="16" t="s">
        <v>238</v>
      </c>
      <c r="B3" s="16" t="s">
        <v>239</v>
      </c>
      <c r="C3" s="16" t="s">
        <v>232</v>
      </c>
      <c r="D3" s="16" t="s">
        <v>233</v>
      </c>
      <c r="E3" s="16" t="s">
        <v>232</v>
      </c>
      <c r="F3" s="16" t="s">
        <v>240</v>
      </c>
      <c r="G3" s="22">
        <v>0.01</v>
      </c>
      <c r="H3" s="16" t="s">
        <v>236</v>
      </c>
      <c r="I3" s="16" t="s">
        <v>237</v>
      </c>
      <c r="J3" s="1"/>
      <c r="K3" s="1"/>
      <c r="L3" s="1"/>
    </row>
    <row r="4" ht="15.6" spans="1:12">
      <c r="A4" s="16" t="s">
        <v>241</v>
      </c>
      <c r="B4" s="16" t="s">
        <v>242</v>
      </c>
      <c r="C4" s="16" t="s">
        <v>232</v>
      </c>
      <c r="D4" s="16" t="s">
        <v>233</v>
      </c>
      <c r="E4" s="16" t="s">
        <v>232</v>
      </c>
      <c r="F4" s="16" t="s">
        <v>243</v>
      </c>
      <c r="G4" s="22">
        <v>0.01</v>
      </c>
      <c r="H4" s="16" t="s">
        <v>236</v>
      </c>
      <c r="I4" s="16" t="s">
        <v>237</v>
      </c>
      <c r="J4" s="1"/>
      <c r="K4" s="1"/>
      <c r="L4" s="1"/>
    </row>
    <row r="5" ht="15.6" spans="1:12">
      <c r="A5" s="16" t="s">
        <v>244</v>
      </c>
      <c r="B5" s="16" t="s">
        <v>245</v>
      </c>
      <c r="C5" s="16" t="s">
        <v>232</v>
      </c>
      <c r="D5" s="16" t="s">
        <v>233</v>
      </c>
      <c r="E5" s="16" t="s">
        <v>232</v>
      </c>
      <c r="F5" s="16" t="s">
        <v>246</v>
      </c>
      <c r="G5" s="22">
        <v>0.01</v>
      </c>
      <c r="H5" s="16" t="s">
        <v>236</v>
      </c>
      <c r="I5" s="16" t="s">
        <v>237</v>
      </c>
      <c r="J5" s="1"/>
      <c r="K5" s="1"/>
      <c r="L5" s="1"/>
    </row>
    <row r="6" ht="15.6" spans="1:12">
      <c r="A6" s="16" t="s">
        <v>247</v>
      </c>
      <c r="B6" s="16" t="s">
        <v>248</v>
      </c>
      <c r="C6" s="16" t="s">
        <v>232</v>
      </c>
      <c r="D6" s="16" t="s">
        <v>233</v>
      </c>
      <c r="E6" s="16" t="s">
        <v>232</v>
      </c>
      <c r="F6" s="16" t="s">
        <v>249</v>
      </c>
      <c r="G6" s="22">
        <v>0.01</v>
      </c>
      <c r="H6" s="16" t="s">
        <v>236</v>
      </c>
      <c r="I6" s="16" t="s">
        <v>237</v>
      </c>
      <c r="J6" s="1"/>
      <c r="K6" s="1"/>
      <c r="L6" s="1"/>
    </row>
    <row r="7" ht="15.6" spans="1:12">
      <c r="A7" s="16" t="s">
        <v>250</v>
      </c>
      <c r="B7" s="16" t="s">
        <v>251</v>
      </c>
      <c r="C7" s="16" t="s">
        <v>232</v>
      </c>
      <c r="D7" s="16" t="s">
        <v>233</v>
      </c>
      <c r="E7" s="16" t="s">
        <v>232</v>
      </c>
      <c r="F7" s="16" t="s">
        <v>252</v>
      </c>
      <c r="G7" s="22">
        <v>0.01</v>
      </c>
      <c r="H7" s="16" t="s">
        <v>236</v>
      </c>
      <c r="I7" s="16" t="s">
        <v>237</v>
      </c>
      <c r="J7" s="1"/>
      <c r="K7" s="1"/>
      <c r="L7" s="1"/>
    </row>
    <row r="8" ht="15.6" spans="1:12">
      <c r="A8" s="16" t="s">
        <v>253</v>
      </c>
      <c r="B8" s="16" t="s">
        <v>254</v>
      </c>
      <c r="C8" s="16" t="s">
        <v>232</v>
      </c>
      <c r="D8" s="16" t="s">
        <v>233</v>
      </c>
      <c r="E8" s="16" t="s">
        <v>232</v>
      </c>
      <c r="F8" s="16" t="s">
        <v>255</v>
      </c>
      <c r="G8" s="22">
        <v>0.01</v>
      </c>
      <c r="H8" s="16" t="s">
        <v>236</v>
      </c>
      <c r="I8" s="16" t="s">
        <v>237</v>
      </c>
      <c r="J8" s="1"/>
      <c r="K8" s="1"/>
      <c r="L8" s="1"/>
    </row>
    <row r="9" ht="15.6" spans="1:12">
      <c r="A9" s="16" t="s">
        <v>256</v>
      </c>
      <c r="B9" s="16" t="s">
        <v>257</v>
      </c>
      <c r="C9" s="16" t="s">
        <v>232</v>
      </c>
      <c r="D9" s="16" t="s">
        <v>233</v>
      </c>
      <c r="E9" s="16" t="s">
        <v>232</v>
      </c>
      <c r="F9" s="16" t="s">
        <v>258</v>
      </c>
      <c r="G9" s="22">
        <v>0.01</v>
      </c>
      <c r="H9" s="16" t="s">
        <v>236</v>
      </c>
      <c r="I9" s="16" t="s">
        <v>237</v>
      </c>
      <c r="J9" s="1"/>
      <c r="K9" s="1"/>
      <c r="L9" s="1"/>
    </row>
    <row r="10" ht="15.6" spans="1:12">
      <c r="A10" s="16" t="s">
        <v>259</v>
      </c>
      <c r="B10" s="16" t="s">
        <v>260</v>
      </c>
      <c r="C10" s="16" t="s">
        <v>232</v>
      </c>
      <c r="D10" s="16" t="s">
        <v>233</v>
      </c>
      <c r="E10" s="16" t="s">
        <v>232</v>
      </c>
      <c r="F10" s="16" t="s">
        <v>261</v>
      </c>
      <c r="G10" s="22">
        <v>0.01</v>
      </c>
      <c r="H10" s="16" t="s">
        <v>236</v>
      </c>
      <c r="I10" s="16" t="s">
        <v>237</v>
      </c>
      <c r="J10" s="1"/>
      <c r="K10" s="1"/>
      <c r="L10" s="1"/>
    </row>
    <row r="11" ht="15.6" spans="1:12">
      <c r="A11" s="16" t="s">
        <v>262</v>
      </c>
      <c r="B11" s="16" t="s">
        <v>263</v>
      </c>
      <c r="C11" s="16" t="s">
        <v>232</v>
      </c>
      <c r="D11" s="16" t="s">
        <v>233</v>
      </c>
      <c r="E11" s="16" t="s">
        <v>232</v>
      </c>
      <c r="F11" s="16" t="s">
        <v>264</v>
      </c>
      <c r="G11" s="22">
        <v>0.01</v>
      </c>
      <c r="H11" s="16" t="s">
        <v>236</v>
      </c>
      <c r="I11" s="16" t="s">
        <v>237</v>
      </c>
      <c r="J11" s="1"/>
      <c r="K11" s="1"/>
      <c r="L11" s="1"/>
    </row>
    <row r="12" ht="15.6" spans="1:12">
      <c r="A12" s="16" t="s">
        <v>265</v>
      </c>
      <c r="B12" s="16" t="s">
        <v>266</v>
      </c>
      <c r="C12" s="16" t="s">
        <v>232</v>
      </c>
      <c r="D12" s="16" t="s">
        <v>233</v>
      </c>
      <c r="E12" s="16" t="s">
        <v>232</v>
      </c>
      <c r="F12" s="16" t="s">
        <v>267</v>
      </c>
      <c r="G12" s="22">
        <v>0.01</v>
      </c>
      <c r="H12" s="16" t="s">
        <v>236</v>
      </c>
      <c r="I12" s="16" t="s">
        <v>237</v>
      </c>
      <c r="J12" s="1"/>
      <c r="K12" s="1"/>
      <c r="L12" s="1"/>
    </row>
    <row r="13" ht="15.6" spans="1:12">
      <c r="A13" s="16" t="s">
        <v>268</v>
      </c>
      <c r="B13" s="16" t="s">
        <v>269</v>
      </c>
      <c r="C13" s="16" t="s">
        <v>232</v>
      </c>
      <c r="D13" s="16" t="s">
        <v>233</v>
      </c>
      <c r="E13" s="16" t="s">
        <v>232</v>
      </c>
      <c r="F13" s="16" t="s">
        <v>270</v>
      </c>
      <c r="G13" s="22">
        <v>0.01</v>
      </c>
      <c r="H13" s="16" t="s">
        <v>236</v>
      </c>
      <c r="I13" s="16" t="s">
        <v>237</v>
      </c>
      <c r="J13" s="1"/>
      <c r="K13" s="1"/>
      <c r="L13" s="1"/>
    </row>
    <row r="14" ht="15.6" spans="1:12">
      <c r="A14" s="16" t="s">
        <v>271</v>
      </c>
      <c r="B14" s="16" t="s">
        <v>272</v>
      </c>
      <c r="C14" s="16" t="s">
        <v>232</v>
      </c>
      <c r="D14" s="16" t="s">
        <v>233</v>
      </c>
      <c r="E14" s="16" t="s">
        <v>232</v>
      </c>
      <c r="F14" s="16" t="s">
        <v>273</v>
      </c>
      <c r="G14" s="22">
        <v>0.01</v>
      </c>
      <c r="H14" s="16" t="s">
        <v>236</v>
      </c>
      <c r="I14" s="16" t="s">
        <v>237</v>
      </c>
      <c r="J14" s="1"/>
      <c r="K14" s="1"/>
      <c r="L14" s="1"/>
    </row>
    <row r="15" ht="15.6" spans="1:12">
      <c r="A15" s="16" t="s">
        <v>274</v>
      </c>
      <c r="B15" s="16" t="s">
        <v>275</v>
      </c>
      <c r="C15" s="16" t="s">
        <v>232</v>
      </c>
      <c r="D15" s="16" t="s">
        <v>233</v>
      </c>
      <c r="E15" s="16" t="s">
        <v>232</v>
      </c>
      <c r="F15" s="16" t="s">
        <v>276</v>
      </c>
      <c r="G15" s="22">
        <v>0.01</v>
      </c>
      <c r="H15" s="16" t="s">
        <v>236</v>
      </c>
      <c r="I15" s="16" t="s">
        <v>237</v>
      </c>
      <c r="J15" s="1"/>
      <c r="K15" s="1"/>
      <c r="L15" s="1"/>
    </row>
    <row r="16" ht="15.6" spans="1:12">
      <c r="A16" s="16" t="s">
        <v>277</v>
      </c>
      <c r="B16" s="16" t="s">
        <v>278</v>
      </c>
      <c r="C16" s="16" t="s">
        <v>232</v>
      </c>
      <c r="D16" s="16" t="s">
        <v>233</v>
      </c>
      <c r="E16" s="16" t="s">
        <v>232</v>
      </c>
      <c r="F16" s="16" t="s">
        <v>279</v>
      </c>
      <c r="G16" s="22">
        <v>0.01</v>
      </c>
      <c r="H16" s="16" t="s">
        <v>236</v>
      </c>
      <c r="I16" s="16" t="s">
        <v>237</v>
      </c>
      <c r="J16" s="1"/>
      <c r="K16" s="1"/>
      <c r="L16" s="1"/>
    </row>
    <row r="17" ht="15.6" spans="1:12">
      <c r="A17" s="16" t="s">
        <v>280</v>
      </c>
      <c r="B17" s="16" t="s">
        <v>281</v>
      </c>
      <c r="C17" s="16" t="s">
        <v>232</v>
      </c>
      <c r="D17" s="16" t="s">
        <v>233</v>
      </c>
      <c r="E17" s="16" t="s">
        <v>232</v>
      </c>
      <c r="F17" s="16" t="s">
        <v>282</v>
      </c>
      <c r="G17" s="22">
        <v>0.01</v>
      </c>
      <c r="H17" s="16" t="s">
        <v>236</v>
      </c>
      <c r="I17" s="16" t="s">
        <v>237</v>
      </c>
      <c r="J17" s="1"/>
      <c r="K17" s="1"/>
      <c r="L17" s="1"/>
    </row>
    <row r="18" ht="15.6" spans="1:12">
      <c r="A18" s="16" t="s">
        <v>283</v>
      </c>
      <c r="B18" s="16" t="s">
        <v>284</v>
      </c>
      <c r="C18" s="16" t="s">
        <v>232</v>
      </c>
      <c r="D18" s="16" t="s">
        <v>233</v>
      </c>
      <c r="E18" s="16" t="s">
        <v>232</v>
      </c>
      <c r="F18" s="16" t="s">
        <v>285</v>
      </c>
      <c r="G18" s="22">
        <v>0.01</v>
      </c>
      <c r="H18" s="16" t="s">
        <v>236</v>
      </c>
      <c r="I18" s="16" t="s">
        <v>237</v>
      </c>
      <c r="J18" s="1"/>
      <c r="K18" s="1"/>
      <c r="L18" s="1"/>
    </row>
    <row r="19" ht="15.6" spans="1:12">
      <c r="A19" s="16" t="s">
        <v>286</v>
      </c>
      <c r="B19" s="16" t="s">
        <v>287</v>
      </c>
      <c r="C19" s="16" t="s">
        <v>232</v>
      </c>
      <c r="D19" s="16" t="s">
        <v>233</v>
      </c>
      <c r="E19" s="16" t="s">
        <v>232</v>
      </c>
      <c r="F19" s="16" t="s">
        <v>288</v>
      </c>
      <c r="G19" s="22">
        <v>0.01</v>
      </c>
      <c r="H19" s="16" t="s">
        <v>236</v>
      </c>
      <c r="I19" s="16" t="s">
        <v>237</v>
      </c>
      <c r="J19" s="1"/>
      <c r="K19" s="1"/>
      <c r="L19" s="1"/>
    </row>
    <row r="20" ht="15.6" spans="1:12">
      <c r="A20" s="16" t="s">
        <v>289</v>
      </c>
      <c r="B20" s="16" t="s">
        <v>290</v>
      </c>
      <c r="C20" s="16" t="s">
        <v>232</v>
      </c>
      <c r="D20" s="16" t="s">
        <v>233</v>
      </c>
      <c r="E20" s="16" t="s">
        <v>232</v>
      </c>
      <c r="F20" s="16" t="s">
        <v>291</v>
      </c>
      <c r="G20" s="22">
        <v>0.01</v>
      </c>
      <c r="H20" s="16" t="s">
        <v>236</v>
      </c>
      <c r="I20" s="16" t="s">
        <v>237</v>
      </c>
      <c r="J20" s="1"/>
      <c r="K20" s="1"/>
      <c r="L20" s="1"/>
    </row>
    <row r="21" ht="15.6" spans="1:12">
      <c r="A21" s="16" t="s">
        <v>292</v>
      </c>
      <c r="B21" s="16" t="s">
        <v>293</v>
      </c>
      <c r="C21" s="16" t="s">
        <v>232</v>
      </c>
      <c r="D21" s="16" t="s">
        <v>233</v>
      </c>
      <c r="E21" s="16" t="s">
        <v>232</v>
      </c>
      <c r="F21" s="16" t="s">
        <v>294</v>
      </c>
      <c r="G21" s="22">
        <v>0.01</v>
      </c>
      <c r="H21" s="16" t="s">
        <v>236</v>
      </c>
      <c r="I21" s="16" t="s">
        <v>237</v>
      </c>
      <c r="J21" s="1"/>
      <c r="K21" s="1"/>
      <c r="L21" s="1"/>
    </row>
    <row r="22" ht="15.6" spans="1:12">
      <c r="A22" s="16" t="s">
        <v>295</v>
      </c>
      <c r="B22" s="16" t="s">
        <v>296</v>
      </c>
      <c r="C22" s="16" t="s">
        <v>232</v>
      </c>
      <c r="D22" s="16" t="s">
        <v>233</v>
      </c>
      <c r="E22" s="16" t="s">
        <v>232</v>
      </c>
      <c r="F22" s="16" t="s">
        <v>297</v>
      </c>
      <c r="G22" s="22">
        <v>0.01</v>
      </c>
      <c r="H22" s="16" t="s">
        <v>236</v>
      </c>
      <c r="I22" s="16" t="s">
        <v>237</v>
      </c>
      <c r="J22" s="1"/>
      <c r="K22" s="1"/>
      <c r="L22" s="1"/>
    </row>
    <row r="23" ht="15.6" spans="1:12">
      <c r="A23" s="16" t="s">
        <v>298</v>
      </c>
      <c r="B23" s="16" t="s">
        <v>299</v>
      </c>
      <c r="C23" s="16" t="s">
        <v>232</v>
      </c>
      <c r="D23" s="16" t="s">
        <v>233</v>
      </c>
      <c r="E23" s="16" t="s">
        <v>232</v>
      </c>
      <c r="F23" s="16" t="s">
        <v>300</v>
      </c>
      <c r="G23" s="22">
        <v>0.01</v>
      </c>
      <c r="H23" s="16" t="s">
        <v>236</v>
      </c>
      <c r="I23" s="16" t="s">
        <v>237</v>
      </c>
      <c r="J23" s="1"/>
      <c r="K23" s="1"/>
      <c r="L23" s="1"/>
    </row>
    <row r="24" ht="15.6" spans="1:12">
      <c r="A24" s="16" t="s">
        <v>301</v>
      </c>
      <c r="B24" s="16" t="s">
        <v>302</v>
      </c>
      <c r="C24" s="16" t="s">
        <v>232</v>
      </c>
      <c r="D24" s="16" t="s">
        <v>233</v>
      </c>
      <c r="E24" s="16" t="s">
        <v>232</v>
      </c>
      <c r="F24" s="16" t="s">
        <v>303</v>
      </c>
      <c r="G24" s="22">
        <v>0.01</v>
      </c>
      <c r="H24" s="16" t="s">
        <v>236</v>
      </c>
      <c r="I24" s="16" t="s">
        <v>237</v>
      </c>
      <c r="J24" s="1"/>
      <c r="K24" s="1"/>
      <c r="L24" s="1"/>
    </row>
    <row r="25" ht="15.6" spans="1:12">
      <c r="A25" s="16" t="s">
        <v>304</v>
      </c>
      <c r="B25" s="16" t="s">
        <v>305</v>
      </c>
      <c r="C25" s="16" t="s">
        <v>232</v>
      </c>
      <c r="D25" s="16" t="s">
        <v>233</v>
      </c>
      <c r="E25" s="16" t="s">
        <v>232</v>
      </c>
      <c r="F25" s="16" t="s">
        <v>306</v>
      </c>
      <c r="G25" s="22">
        <v>0.01</v>
      </c>
      <c r="H25" s="16" t="s">
        <v>236</v>
      </c>
      <c r="I25" s="16" t="s">
        <v>237</v>
      </c>
      <c r="J25" s="1"/>
      <c r="K25" s="1"/>
      <c r="L25" s="1"/>
    </row>
    <row r="26" ht="15.6" spans="1:12">
      <c r="A26" s="16" t="s">
        <v>307</v>
      </c>
      <c r="B26" s="16" t="s">
        <v>308</v>
      </c>
      <c r="C26" s="16" t="s">
        <v>232</v>
      </c>
      <c r="D26" s="16" t="s">
        <v>233</v>
      </c>
      <c r="E26" s="16" t="s">
        <v>232</v>
      </c>
      <c r="F26" s="16" t="s">
        <v>309</v>
      </c>
      <c r="G26" s="22">
        <v>0.01</v>
      </c>
      <c r="H26" s="16" t="s">
        <v>236</v>
      </c>
      <c r="I26" s="16" t="s">
        <v>237</v>
      </c>
      <c r="J26" s="1"/>
      <c r="K26" s="1"/>
      <c r="L26" s="1"/>
    </row>
    <row r="27" ht="15.6" spans="1:12">
      <c r="A27" s="16" t="s">
        <v>310</v>
      </c>
      <c r="B27" s="16" t="s">
        <v>311</v>
      </c>
      <c r="C27" s="16" t="s">
        <v>232</v>
      </c>
      <c r="D27" s="16" t="s">
        <v>233</v>
      </c>
      <c r="E27" s="16" t="s">
        <v>232</v>
      </c>
      <c r="F27" s="16" t="s">
        <v>165</v>
      </c>
      <c r="G27" s="22">
        <v>0.01</v>
      </c>
      <c r="H27" s="16" t="s">
        <v>236</v>
      </c>
      <c r="I27" s="16" t="s">
        <v>237</v>
      </c>
      <c r="J27" s="1"/>
      <c r="K27" s="1"/>
      <c r="L27" s="1"/>
    </row>
    <row r="28" ht="15.6" spans="1:12">
      <c r="A28" s="16" t="s">
        <v>312</v>
      </c>
      <c r="B28" s="16" t="s">
        <v>313</v>
      </c>
      <c r="C28" s="16" t="s">
        <v>232</v>
      </c>
      <c r="D28" s="16" t="s">
        <v>233</v>
      </c>
      <c r="E28" s="16" t="s">
        <v>232</v>
      </c>
      <c r="F28" s="16" t="s">
        <v>148</v>
      </c>
      <c r="G28" s="22">
        <v>0.01</v>
      </c>
      <c r="H28" s="16" t="s">
        <v>236</v>
      </c>
      <c r="I28" s="16" t="s">
        <v>237</v>
      </c>
      <c r="J28" s="1"/>
      <c r="K28" s="1"/>
      <c r="L28" s="1"/>
    </row>
    <row r="29" ht="15.6" spans="1:12">
      <c r="A29" s="16" t="s">
        <v>314</v>
      </c>
      <c r="B29" s="16" t="s">
        <v>315</v>
      </c>
      <c r="C29" s="16" t="s">
        <v>232</v>
      </c>
      <c r="D29" s="16" t="s">
        <v>233</v>
      </c>
      <c r="E29" s="16" t="s">
        <v>232</v>
      </c>
      <c r="F29" s="16" t="s">
        <v>316</v>
      </c>
      <c r="G29" s="22">
        <v>0.01</v>
      </c>
      <c r="H29" s="16" t="s">
        <v>236</v>
      </c>
      <c r="I29" s="16" t="s">
        <v>237</v>
      </c>
      <c r="J29" s="1"/>
      <c r="K29" s="1"/>
      <c r="L29" s="1"/>
    </row>
    <row r="30" ht="15.6" spans="1:12">
      <c r="A30" s="16" t="s">
        <v>317</v>
      </c>
      <c r="B30" s="16" t="s">
        <v>318</v>
      </c>
      <c r="C30" s="16" t="s">
        <v>232</v>
      </c>
      <c r="D30" s="16" t="s">
        <v>233</v>
      </c>
      <c r="E30" s="16" t="s">
        <v>232</v>
      </c>
      <c r="F30" s="16" t="s">
        <v>319</v>
      </c>
      <c r="G30" s="22">
        <v>0.01</v>
      </c>
      <c r="H30" s="16" t="s">
        <v>236</v>
      </c>
      <c r="I30" s="16" t="s">
        <v>237</v>
      </c>
      <c r="J30" s="1"/>
      <c r="K30" s="1"/>
      <c r="L30" s="1"/>
    </row>
    <row r="31" ht="15.6" spans="1:12">
      <c r="A31" s="16" t="s">
        <v>320</v>
      </c>
      <c r="B31" s="16" t="s">
        <v>321</v>
      </c>
      <c r="C31" s="16" t="s">
        <v>232</v>
      </c>
      <c r="D31" s="16" t="s">
        <v>233</v>
      </c>
      <c r="E31" s="16" t="s">
        <v>232</v>
      </c>
      <c r="F31" s="16" t="s">
        <v>322</v>
      </c>
      <c r="G31" s="22">
        <v>0.01</v>
      </c>
      <c r="H31" s="16" t="s">
        <v>236</v>
      </c>
      <c r="I31" s="16" t="s">
        <v>237</v>
      </c>
      <c r="J31" s="1"/>
      <c r="K31" s="1"/>
      <c r="L31" s="1"/>
    </row>
    <row r="32" ht="15.6" spans="1:12">
      <c r="A32" s="16" t="s">
        <v>323</v>
      </c>
      <c r="B32" s="16" t="s">
        <v>324</v>
      </c>
      <c r="C32" s="16" t="s">
        <v>232</v>
      </c>
      <c r="D32" s="16" t="s">
        <v>233</v>
      </c>
      <c r="E32" s="16" t="s">
        <v>232</v>
      </c>
      <c r="F32" s="16" t="s">
        <v>325</v>
      </c>
      <c r="G32" s="22">
        <v>0.01</v>
      </c>
      <c r="H32" s="16" t="s">
        <v>236</v>
      </c>
      <c r="I32" s="16" t="s">
        <v>237</v>
      </c>
      <c r="J32" s="1"/>
      <c r="K32" s="1"/>
      <c r="L32" s="1"/>
    </row>
    <row r="33" ht="15.6" spans="1:12">
      <c r="A33" s="16" t="s">
        <v>326</v>
      </c>
      <c r="B33" s="16" t="s">
        <v>327</v>
      </c>
      <c r="C33" s="16" t="s">
        <v>232</v>
      </c>
      <c r="D33" s="16" t="s">
        <v>233</v>
      </c>
      <c r="E33" s="16" t="s">
        <v>232</v>
      </c>
      <c r="F33" s="16" t="s">
        <v>122</v>
      </c>
      <c r="G33" s="22">
        <v>0.01</v>
      </c>
      <c r="H33" s="16" t="s">
        <v>236</v>
      </c>
      <c r="I33" s="16" t="s">
        <v>237</v>
      </c>
      <c r="J33" s="1"/>
      <c r="K33" s="1"/>
      <c r="L33" s="1"/>
    </row>
    <row r="34" ht="15.6" spans="1:12">
      <c r="A34" s="16" t="s">
        <v>328</v>
      </c>
      <c r="B34" s="16" t="s">
        <v>329</v>
      </c>
      <c r="C34" s="16" t="s">
        <v>232</v>
      </c>
      <c r="D34" s="16" t="s">
        <v>233</v>
      </c>
      <c r="E34" s="16" t="s">
        <v>232</v>
      </c>
      <c r="F34" s="16" t="s">
        <v>330</v>
      </c>
      <c r="G34" s="22">
        <v>0.01</v>
      </c>
      <c r="H34" s="16" t="s">
        <v>236</v>
      </c>
      <c r="I34" s="16" t="s">
        <v>237</v>
      </c>
      <c r="J34" s="1"/>
      <c r="K34" s="1"/>
      <c r="L34" s="1"/>
    </row>
    <row r="35" ht="15.6" spans="1:12">
      <c r="A35" s="16" t="s">
        <v>331</v>
      </c>
      <c r="B35" s="16" t="s">
        <v>332</v>
      </c>
      <c r="C35" s="16" t="s">
        <v>232</v>
      </c>
      <c r="D35" s="16" t="s">
        <v>233</v>
      </c>
      <c r="E35" s="16" t="s">
        <v>232</v>
      </c>
      <c r="F35" s="16" t="s">
        <v>333</v>
      </c>
      <c r="G35" s="22">
        <v>0.01</v>
      </c>
      <c r="H35" s="16" t="s">
        <v>236</v>
      </c>
      <c r="I35" s="16" t="s">
        <v>237</v>
      </c>
      <c r="J35" s="1"/>
      <c r="K35" s="1"/>
      <c r="L35" s="1"/>
    </row>
    <row r="36" ht="15.6" spans="1:12">
      <c r="A36" s="16" t="s">
        <v>334</v>
      </c>
      <c r="B36" s="16" t="s">
        <v>335</v>
      </c>
      <c r="C36" s="16" t="s">
        <v>232</v>
      </c>
      <c r="D36" s="16" t="s">
        <v>233</v>
      </c>
      <c r="E36" s="16" t="s">
        <v>232</v>
      </c>
      <c r="F36" s="16" t="s">
        <v>336</v>
      </c>
      <c r="G36" s="22">
        <v>0.01</v>
      </c>
      <c r="H36" s="16" t="s">
        <v>236</v>
      </c>
      <c r="I36" s="16" t="s">
        <v>237</v>
      </c>
      <c r="J36" s="1"/>
      <c r="K36" s="1"/>
      <c r="L36" s="1"/>
    </row>
    <row r="37" ht="15.6" spans="1:12">
      <c r="A37" s="16" t="s">
        <v>337</v>
      </c>
      <c r="B37" s="16" t="s">
        <v>338</v>
      </c>
      <c r="C37" s="16" t="s">
        <v>232</v>
      </c>
      <c r="D37" s="16" t="s">
        <v>233</v>
      </c>
      <c r="E37" s="16" t="s">
        <v>232</v>
      </c>
      <c r="F37" s="16" t="s">
        <v>339</v>
      </c>
      <c r="G37" s="22">
        <v>0.01</v>
      </c>
      <c r="H37" s="16" t="s">
        <v>236</v>
      </c>
      <c r="I37" s="16" t="s">
        <v>237</v>
      </c>
      <c r="J37" s="1"/>
      <c r="K37" s="1"/>
      <c r="L37" s="1"/>
    </row>
    <row r="38" ht="15.6" spans="1:12">
      <c r="A38" s="16" t="s">
        <v>340</v>
      </c>
      <c r="B38" s="16" t="s">
        <v>341</v>
      </c>
      <c r="C38" s="16" t="s">
        <v>232</v>
      </c>
      <c r="D38" s="16" t="s">
        <v>233</v>
      </c>
      <c r="E38" s="16" t="s">
        <v>232</v>
      </c>
      <c r="F38" s="16" t="s">
        <v>342</v>
      </c>
      <c r="G38" s="22">
        <v>0.01</v>
      </c>
      <c r="H38" s="16" t="s">
        <v>236</v>
      </c>
      <c r="I38" s="16" t="s">
        <v>237</v>
      </c>
      <c r="J38" s="1"/>
      <c r="K38" s="1"/>
      <c r="L38" s="1"/>
    </row>
    <row r="39" ht="15.6" spans="1:12">
      <c r="A39" s="16" t="s">
        <v>343</v>
      </c>
      <c r="B39" s="16" t="s">
        <v>344</v>
      </c>
      <c r="C39" s="16" t="s">
        <v>232</v>
      </c>
      <c r="D39" s="16" t="s">
        <v>233</v>
      </c>
      <c r="E39" s="16" t="s">
        <v>232</v>
      </c>
      <c r="F39" s="16" t="s">
        <v>345</v>
      </c>
      <c r="G39" s="22">
        <v>0.01</v>
      </c>
      <c r="H39" s="16" t="s">
        <v>236</v>
      </c>
      <c r="I39" s="16" t="s">
        <v>237</v>
      </c>
      <c r="J39" s="1"/>
      <c r="K39" s="1"/>
      <c r="L39" s="1"/>
    </row>
    <row r="40" ht="15.6" spans="1:12">
      <c r="A40" s="16" t="s">
        <v>346</v>
      </c>
      <c r="B40" s="16" t="s">
        <v>347</v>
      </c>
      <c r="C40" s="16" t="s">
        <v>232</v>
      </c>
      <c r="D40" s="16" t="s">
        <v>233</v>
      </c>
      <c r="E40" s="16" t="s">
        <v>232</v>
      </c>
      <c r="F40" s="16" t="s">
        <v>348</v>
      </c>
      <c r="G40" s="22">
        <v>0.01</v>
      </c>
      <c r="H40" s="16" t="s">
        <v>236</v>
      </c>
      <c r="I40" s="16" t="s">
        <v>237</v>
      </c>
      <c r="J40" s="1"/>
      <c r="K40" s="1"/>
      <c r="L40" s="1"/>
    </row>
    <row r="41" ht="15.6" spans="1:12">
      <c r="A41" s="16" t="s">
        <v>349</v>
      </c>
      <c r="B41" s="16" t="s">
        <v>350</v>
      </c>
      <c r="C41" s="16" t="s">
        <v>232</v>
      </c>
      <c r="D41" s="16" t="s">
        <v>233</v>
      </c>
      <c r="E41" s="16" t="s">
        <v>232</v>
      </c>
      <c r="F41" s="16" t="s">
        <v>351</v>
      </c>
      <c r="G41" s="22">
        <v>0.01</v>
      </c>
      <c r="H41" s="16" t="s">
        <v>236</v>
      </c>
      <c r="I41" s="16" t="s">
        <v>237</v>
      </c>
      <c r="J41" s="1"/>
      <c r="K41" s="1"/>
      <c r="L41" s="1"/>
    </row>
    <row r="42" ht="15.6" spans="1:12">
      <c r="A42" s="16" t="s">
        <v>352</v>
      </c>
      <c r="B42" s="16" t="s">
        <v>353</v>
      </c>
      <c r="C42" s="16" t="s">
        <v>232</v>
      </c>
      <c r="D42" s="16" t="s">
        <v>233</v>
      </c>
      <c r="E42" s="16" t="s">
        <v>232</v>
      </c>
      <c r="F42" s="16" t="s">
        <v>354</v>
      </c>
      <c r="G42" s="22">
        <v>0.01</v>
      </c>
      <c r="H42" s="16" t="s">
        <v>236</v>
      </c>
      <c r="I42" s="16" t="s">
        <v>237</v>
      </c>
      <c r="J42" s="1"/>
      <c r="K42" s="1"/>
      <c r="L42" s="1"/>
    </row>
    <row r="43" ht="15.6" spans="1:12">
      <c r="A43" s="16" t="s">
        <v>355</v>
      </c>
      <c r="B43" s="16" t="s">
        <v>356</v>
      </c>
      <c r="C43" s="16" t="s">
        <v>232</v>
      </c>
      <c r="D43" s="16" t="s">
        <v>233</v>
      </c>
      <c r="E43" s="16" t="s">
        <v>232</v>
      </c>
      <c r="F43" s="16" t="s">
        <v>357</v>
      </c>
      <c r="G43" s="22">
        <v>0.01</v>
      </c>
      <c r="H43" s="16" t="s">
        <v>236</v>
      </c>
      <c r="I43" s="16" t="s">
        <v>237</v>
      </c>
      <c r="J43" s="1"/>
      <c r="K43" s="1"/>
      <c r="L43" s="1"/>
    </row>
    <row r="44" ht="15.6" spans="1:12">
      <c r="A44" s="16" t="s">
        <v>358</v>
      </c>
      <c r="B44" s="16" t="s">
        <v>359</v>
      </c>
      <c r="C44" s="16" t="s">
        <v>232</v>
      </c>
      <c r="D44" s="16" t="s">
        <v>233</v>
      </c>
      <c r="E44" s="16" t="s">
        <v>232</v>
      </c>
      <c r="F44" s="16" t="s">
        <v>360</v>
      </c>
      <c r="G44" s="22">
        <v>0.01</v>
      </c>
      <c r="H44" s="16" t="s">
        <v>236</v>
      </c>
      <c r="I44" s="16" t="s">
        <v>237</v>
      </c>
      <c r="J44" s="1"/>
      <c r="K44" s="1"/>
      <c r="L44" s="1"/>
    </row>
    <row r="45" ht="15.6" spans="1:12">
      <c r="A45" s="16" t="s">
        <v>361</v>
      </c>
      <c r="B45" s="16" t="s">
        <v>362</v>
      </c>
      <c r="C45" s="16" t="s">
        <v>232</v>
      </c>
      <c r="D45" s="16" t="s">
        <v>233</v>
      </c>
      <c r="E45" s="16" t="s">
        <v>232</v>
      </c>
      <c r="F45" s="16" t="s">
        <v>363</v>
      </c>
      <c r="G45" s="22">
        <v>0.01</v>
      </c>
      <c r="H45" s="16" t="s">
        <v>236</v>
      </c>
      <c r="I45" s="16" t="s">
        <v>237</v>
      </c>
      <c r="J45" s="1"/>
      <c r="K45" s="1"/>
      <c r="L45" s="1"/>
    </row>
    <row r="46" ht="15.6" spans="1:12">
      <c r="A46" s="16" t="s">
        <v>364</v>
      </c>
      <c r="B46" s="16" t="s">
        <v>365</v>
      </c>
      <c r="C46" s="16" t="s">
        <v>232</v>
      </c>
      <c r="D46" s="16" t="s">
        <v>233</v>
      </c>
      <c r="E46" s="16" t="s">
        <v>232</v>
      </c>
      <c r="F46" s="16" t="s">
        <v>366</v>
      </c>
      <c r="G46" s="22">
        <v>0.01</v>
      </c>
      <c r="H46" s="16" t="s">
        <v>236</v>
      </c>
      <c r="I46" s="16" t="s">
        <v>237</v>
      </c>
      <c r="J46" s="1"/>
      <c r="K46" s="1"/>
      <c r="L46" s="1"/>
    </row>
    <row r="47" ht="15.6" spans="1:12">
      <c r="A47" s="16" t="s">
        <v>367</v>
      </c>
      <c r="B47" s="16" t="s">
        <v>368</v>
      </c>
      <c r="C47" s="16" t="s">
        <v>232</v>
      </c>
      <c r="D47" s="16" t="s">
        <v>233</v>
      </c>
      <c r="E47" s="16" t="s">
        <v>232</v>
      </c>
      <c r="F47" s="16" t="s">
        <v>369</v>
      </c>
      <c r="G47" s="22">
        <v>0.01</v>
      </c>
      <c r="H47" s="16" t="s">
        <v>236</v>
      </c>
      <c r="I47" s="16" t="s">
        <v>237</v>
      </c>
      <c r="J47" s="1"/>
      <c r="K47" s="1"/>
      <c r="L47" s="1"/>
    </row>
    <row r="48" ht="15.6" spans="1:12">
      <c r="A48" s="16" t="s">
        <v>370</v>
      </c>
      <c r="B48" s="16" t="s">
        <v>371</v>
      </c>
      <c r="C48" s="16" t="s">
        <v>232</v>
      </c>
      <c r="D48" s="16" t="s">
        <v>233</v>
      </c>
      <c r="E48" s="16" t="s">
        <v>232</v>
      </c>
      <c r="F48" s="16" t="s">
        <v>372</v>
      </c>
      <c r="G48" s="22">
        <v>0.01</v>
      </c>
      <c r="H48" s="16" t="s">
        <v>236</v>
      </c>
      <c r="I48" s="16" t="s">
        <v>237</v>
      </c>
      <c r="J48" s="1"/>
      <c r="K48" s="1"/>
      <c r="L48" s="1"/>
    </row>
    <row r="49" ht="15.6" spans="1:12">
      <c r="A49" s="16" t="s">
        <v>373</v>
      </c>
      <c r="B49" s="16" t="s">
        <v>374</v>
      </c>
      <c r="C49" s="16" t="s">
        <v>232</v>
      </c>
      <c r="D49" s="16" t="s">
        <v>233</v>
      </c>
      <c r="E49" s="16" t="s">
        <v>232</v>
      </c>
      <c r="F49" s="16" t="s">
        <v>375</v>
      </c>
      <c r="G49" s="22">
        <v>0.01</v>
      </c>
      <c r="H49" s="16" t="s">
        <v>236</v>
      </c>
      <c r="I49" s="16" t="s">
        <v>237</v>
      </c>
      <c r="J49" s="1"/>
      <c r="K49" s="1"/>
      <c r="L49" s="1"/>
    </row>
    <row r="50" ht="15.6" spans="1:12">
      <c r="A50" s="16" t="s">
        <v>376</v>
      </c>
      <c r="B50" s="16" t="s">
        <v>377</v>
      </c>
      <c r="C50" s="16" t="s">
        <v>232</v>
      </c>
      <c r="D50" s="16" t="s">
        <v>233</v>
      </c>
      <c r="E50" s="16" t="s">
        <v>232</v>
      </c>
      <c r="F50" s="16" t="s">
        <v>378</v>
      </c>
      <c r="G50" s="22">
        <v>0.01</v>
      </c>
      <c r="H50" s="16" t="s">
        <v>236</v>
      </c>
      <c r="I50" s="16" t="s">
        <v>237</v>
      </c>
      <c r="J50" s="1"/>
      <c r="K50" s="1"/>
      <c r="L50" s="1"/>
    </row>
    <row r="51" ht="15.6" spans="1:12">
      <c r="A51" s="16" t="s">
        <v>379</v>
      </c>
      <c r="B51" s="16" t="s">
        <v>380</v>
      </c>
      <c r="C51" s="16" t="s">
        <v>232</v>
      </c>
      <c r="D51" s="16" t="s">
        <v>233</v>
      </c>
      <c r="E51" s="16" t="s">
        <v>232</v>
      </c>
      <c r="F51" s="16" t="s">
        <v>381</v>
      </c>
      <c r="G51" s="22">
        <v>0.01</v>
      </c>
      <c r="H51" s="16" t="s">
        <v>236</v>
      </c>
      <c r="I51" s="16" t="s">
        <v>237</v>
      </c>
      <c r="J51" s="1"/>
      <c r="K51" s="1"/>
      <c r="L51" s="1"/>
    </row>
    <row r="52" ht="15.6" spans="1:12">
      <c r="A52" s="16" t="s">
        <v>382</v>
      </c>
      <c r="B52" s="16" t="s">
        <v>383</v>
      </c>
      <c r="C52" s="16" t="s">
        <v>232</v>
      </c>
      <c r="D52" s="16" t="s">
        <v>233</v>
      </c>
      <c r="E52" s="16" t="s">
        <v>232</v>
      </c>
      <c r="F52" s="16" t="s">
        <v>384</v>
      </c>
      <c r="G52" s="22">
        <v>0.01</v>
      </c>
      <c r="H52" s="16" t="s">
        <v>236</v>
      </c>
      <c r="I52" s="16" t="s">
        <v>237</v>
      </c>
      <c r="J52" s="16" t="s">
        <v>385</v>
      </c>
      <c r="K52" s="1" t="s">
        <v>386</v>
      </c>
      <c r="L52" s="1"/>
    </row>
    <row r="53" ht="15.6" spans="1:12">
      <c r="A53" s="16" t="s">
        <v>387</v>
      </c>
      <c r="B53" s="16" t="s">
        <v>388</v>
      </c>
      <c r="C53" s="16" t="s">
        <v>232</v>
      </c>
      <c r="D53" s="16" t="s">
        <v>233</v>
      </c>
      <c r="E53" s="16" t="s">
        <v>232</v>
      </c>
      <c r="F53" s="16" t="s">
        <v>389</v>
      </c>
      <c r="G53" s="22">
        <v>0.01</v>
      </c>
      <c r="H53" s="16" t="s">
        <v>236</v>
      </c>
      <c r="I53" s="16" t="s">
        <v>237</v>
      </c>
      <c r="J53" s="1"/>
      <c r="K53" s="1"/>
      <c r="L53" s="1"/>
    </row>
    <row r="54" ht="15.6" spans="1:12">
      <c r="A54" s="16" t="s">
        <v>390</v>
      </c>
      <c r="B54" s="16" t="s">
        <v>391</v>
      </c>
      <c r="C54" s="16" t="s">
        <v>232</v>
      </c>
      <c r="D54" s="16" t="s">
        <v>233</v>
      </c>
      <c r="E54" s="16" t="s">
        <v>232</v>
      </c>
      <c r="F54" s="16" t="s">
        <v>392</v>
      </c>
      <c r="G54" s="22">
        <v>0.01</v>
      </c>
      <c r="H54" s="16" t="s">
        <v>236</v>
      </c>
      <c r="I54" s="16" t="s">
        <v>237</v>
      </c>
      <c r="J54" s="1"/>
      <c r="K54" s="1"/>
      <c r="L54" s="1"/>
    </row>
    <row r="55" ht="15.6" spans="1:12">
      <c r="A55" s="16" t="s">
        <v>393</v>
      </c>
      <c r="B55" s="16" t="s">
        <v>394</v>
      </c>
      <c r="C55" s="16" t="s">
        <v>232</v>
      </c>
      <c r="D55" s="16" t="s">
        <v>233</v>
      </c>
      <c r="E55" s="16" t="s">
        <v>232</v>
      </c>
      <c r="F55" s="16" t="s">
        <v>395</v>
      </c>
      <c r="G55" s="22">
        <v>0.01</v>
      </c>
      <c r="H55" s="16" t="s">
        <v>236</v>
      </c>
      <c r="I55" s="16" t="s">
        <v>237</v>
      </c>
      <c r="J55" s="1"/>
      <c r="K55" s="1"/>
      <c r="L55" s="1"/>
    </row>
    <row r="56" ht="15.6" spans="1:12">
      <c r="A56" s="16" t="s">
        <v>396</v>
      </c>
      <c r="B56" s="16" t="s">
        <v>397</v>
      </c>
      <c r="C56" s="16" t="s">
        <v>232</v>
      </c>
      <c r="D56" s="16" t="s">
        <v>233</v>
      </c>
      <c r="E56" s="16" t="s">
        <v>232</v>
      </c>
      <c r="F56" s="16" t="s">
        <v>398</v>
      </c>
      <c r="G56" s="22">
        <v>0.01</v>
      </c>
      <c r="H56" s="16" t="s">
        <v>236</v>
      </c>
      <c r="I56" s="16" t="s">
        <v>237</v>
      </c>
      <c r="J56" s="1"/>
      <c r="K56" s="1"/>
      <c r="L56" s="1"/>
    </row>
    <row r="57" ht="15.6" spans="1:12">
      <c r="A57" s="16" t="s">
        <v>399</v>
      </c>
      <c r="B57" s="16" t="s">
        <v>400</v>
      </c>
      <c r="C57" s="16" t="s">
        <v>232</v>
      </c>
      <c r="D57" s="16" t="s">
        <v>233</v>
      </c>
      <c r="E57" s="16" t="s">
        <v>232</v>
      </c>
      <c r="F57" s="16" t="s">
        <v>401</v>
      </c>
      <c r="G57" s="22">
        <v>0.01</v>
      </c>
      <c r="H57" s="16" t="s">
        <v>236</v>
      </c>
      <c r="I57" s="16" t="s">
        <v>237</v>
      </c>
      <c r="J57" s="1"/>
      <c r="K57" s="1"/>
      <c r="L57" s="1"/>
    </row>
    <row r="58" ht="15.6" spans="1:12">
      <c r="A58" s="16" t="s">
        <v>402</v>
      </c>
      <c r="B58" s="16" t="s">
        <v>403</v>
      </c>
      <c r="C58" s="16" t="s">
        <v>232</v>
      </c>
      <c r="D58" s="16" t="s">
        <v>233</v>
      </c>
      <c r="E58" s="16" t="s">
        <v>232</v>
      </c>
      <c r="F58" s="16" t="s">
        <v>404</v>
      </c>
      <c r="G58" s="22">
        <v>0.01</v>
      </c>
      <c r="H58" s="16" t="s">
        <v>236</v>
      </c>
      <c r="I58" s="16" t="s">
        <v>237</v>
      </c>
      <c r="J58" s="1"/>
      <c r="K58" s="1"/>
      <c r="L58" s="1"/>
    </row>
    <row r="59" ht="15.6" spans="1:12">
      <c r="A59" s="16" t="s">
        <v>405</v>
      </c>
      <c r="B59" s="16" t="s">
        <v>406</v>
      </c>
      <c r="C59" s="16" t="s">
        <v>232</v>
      </c>
      <c r="D59" s="16" t="s">
        <v>233</v>
      </c>
      <c r="E59" s="16" t="s">
        <v>232</v>
      </c>
      <c r="F59" s="16" t="s">
        <v>407</v>
      </c>
      <c r="G59" s="22">
        <v>0.01</v>
      </c>
      <c r="H59" s="16" t="s">
        <v>236</v>
      </c>
      <c r="I59" s="16" t="s">
        <v>237</v>
      </c>
      <c r="J59" s="1"/>
      <c r="K59" s="1"/>
      <c r="L59" s="1"/>
    </row>
    <row r="60" ht="15.6" spans="1:12">
      <c r="A60" s="16" t="s">
        <v>408</v>
      </c>
      <c r="B60" s="16" t="s">
        <v>409</v>
      </c>
      <c r="C60" s="16" t="s">
        <v>232</v>
      </c>
      <c r="D60" s="16" t="s">
        <v>233</v>
      </c>
      <c r="E60" s="16" t="s">
        <v>232</v>
      </c>
      <c r="F60" s="16" t="s">
        <v>410</v>
      </c>
      <c r="G60" s="22">
        <v>0.01</v>
      </c>
      <c r="H60" s="16" t="s">
        <v>236</v>
      </c>
      <c r="I60" s="16" t="s">
        <v>237</v>
      </c>
      <c r="J60" s="1"/>
      <c r="K60" s="1"/>
      <c r="L60" s="1"/>
    </row>
    <row r="61" ht="15.6" spans="1:12">
      <c r="A61" s="16" t="s">
        <v>411</v>
      </c>
      <c r="B61" s="16" t="s">
        <v>412</v>
      </c>
      <c r="C61" s="16" t="s">
        <v>232</v>
      </c>
      <c r="D61" s="16" t="s">
        <v>233</v>
      </c>
      <c r="E61" s="16" t="s">
        <v>232</v>
      </c>
      <c r="F61" s="16" t="s">
        <v>413</v>
      </c>
      <c r="G61" s="22">
        <v>0.01</v>
      </c>
      <c r="H61" s="16" t="s">
        <v>236</v>
      </c>
      <c r="I61" s="16" t="s">
        <v>237</v>
      </c>
      <c r="J61" s="1"/>
      <c r="K61" s="1"/>
      <c r="L61" s="1"/>
    </row>
    <row r="62" ht="15.6" spans="1:12">
      <c r="A62" s="16" t="s">
        <v>414</v>
      </c>
      <c r="B62" s="16" t="s">
        <v>415</v>
      </c>
      <c r="C62" s="16" t="s">
        <v>232</v>
      </c>
      <c r="D62" s="16" t="s">
        <v>233</v>
      </c>
      <c r="E62" s="16" t="s">
        <v>232</v>
      </c>
      <c r="F62" s="16" t="s">
        <v>416</v>
      </c>
      <c r="G62" s="22">
        <v>0.01</v>
      </c>
      <c r="H62" s="16" t="s">
        <v>236</v>
      </c>
      <c r="I62" s="16" t="s">
        <v>237</v>
      </c>
      <c r="J62" s="1"/>
      <c r="K62" s="1"/>
      <c r="L62" s="1"/>
    </row>
    <row r="63" ht="15.6" spans="1:12">
      <c r="A63" s="16" t="s">
        <v>417</v>
      </c>
      <c r="B63" s="16" t="s">
        <v>418</v>
      </c>
      <c r="C63" s="16" t="s">
        <v>232</v>
      </c>
      <c r="D63" s="16" t="s">
        <v>233</v>
      </c>
      <c r="E63" s="16" t="s">
        <v>232</v>
      </c>
      <c r="F63" s="16" t="s">
        <v>419</v>
      </c>
      <c r="G63" s="22">
        <v>0.01</v>
      </c>
      <c r="H63" s="16" t="s">
        <v>236</v>
      </c>
      <c r="I63" s="16" t="s">
        <v>237</v>
      </c>
      <c r="J63" s="1"/>
      <c r="K63" s="1"/>
      <c r="L63" s="1"/>
    </row>
    <row r="64" ht="15.6" spans="1:12">
      <c r="A64" s="16" t="s">
        <v>420</v>
      </c>
      <c r="B64" s="16" t="s">
        <v>421</v>
      </c>
      <c r="C64" s="16" t="s">
        <v>232</v>
      </c>
      <c r="D64" s="16" t="s">
        <v>233</v>
      </c>
      <c r="E64" s="16" t="s">
        <v>232</v>
      </c>
      <c r="F64" s="16" t="s">
        <v>422</v>
      </c>
      <c r="G64" s="22">
        <v>0.01</v>
      </c>
      <c r="H64" s="16" t="s">
        <v>236</v>
      </c>
      <c r="I64" s="16" t="s">
        <v>237</v>
      </c>
      <c r="J64" s="1"/>
      <c r="K64" s="1"/>
      <c r="L64" s="1"/>
    </row>
    <row r="65" ht="15.6" spans="1:12">
      <c r="A65" s="16" t="s">
        <v>423</v>
      </c>
      <c r="B65" s="16" t="s">
        <v>424</v>
      </c>
      <c r="C65" s="16" t="s">
        <v>232</v>
      </c>
      <c r="D65" s="16" t="s">
        <v>233</v>
      </c>
      <c r="E65" s="16" t="s">
        <v>232</v>
      </c>
      <c r="F65" s="16" t="s">
        <v>425</v>
      </c>
      <c r="G65" s="22">
        <v>0.01</v>
      </c>
      <c r="H65" s="16" t="s">
        <v>236</v>
      </c>
      <c r="I65" s="16" t="s">
        <v>237</v>
      </c>
      <c r="J65" s="1"/>
      <c r="K65" s="1"/>
      <c r="L65" s="1"/>
    </row>
    <row r="66" ht="15.6" spans="1:12">
      <c r="A66" s="16" t="s">
        <v>426</v>
      </c>
      <c r="B66" s="16" t="s">
        <v>427</v>
      </c>
      <c r="C66" s="16" t="s">
        <v>232</v>
      </c>
      <c r="D66" s="16" t="s">
        <v>233</v>
      </c>
      <c r="E66" s="16" t="s">
        <v>232</v>
      </c>
      <c r="F66" s="16" t="s">
        <v>428</v>
      </c>
      <c r="G66" s="22">
        <v>0.01</v>
      </c>
      <c r="H66" s="16" t="s">
        <v>236</v>
      </c>
      <c r="I66" s="16" t="s">
        <v>237</v>
      </c>
      <c r="J66" s="1"/>
      <c r="K66" s="1"/>
      <c r="L66" s="1"/>
    </row>
    <row r="67" ht="15.6" spans="1:12">
      <c r="A67" s="16" t="s">
        <v>429</v>
      </c>
      <c r="B67" s="16" t="s">
        <v>430</v>
      </c>
      <c r="C67" s="16" t="s">
        <v>232</v>
      </c>
      <c r="D67" s="16" t="s">
        <v>233</v>
      </c>
      <c r="E67" s="16" t="s">
        <v>232</v>
      </c>
      <c r="F67" s="16" t="s">
        <v>431</v>
      </c>
      <c r="G67" s="22">
        <v>0.01</v>
      </c>
      <c r="H67" s="16" t="s">
        <v>236</v>
      </c>
      <c r="I67" s="16" t="s">
        <v>237</v>
      </c>
      <c r="J67" s="16" t="s">
        <v>432</v>
      </c>
      <c r="K67" s="1" t="s">
        <v>433</v>
      </c>
      <c r="L67" s="1"/>
    </row>
    <row r="68" ht="15.6" spans="1:12">
      <c r="A68" s="16" t="s">
        <v>434</v>
      </c>
      <c r="B68" s="16" t="s">
        <v>435</v>
      </c>
      <c r="C68" s="16" t="s">
        <v>232</v>
      </c>
      <c r="D68" s="16" t="s">
        <v>233</v>
      </c>
      <c r="E68" s="16" t="s">
        <v>232</v>
      </c>
      <c r="F68" s="16" t="s">
        <v>436</v>
      </c>
      <c r="G68" s="22">
        <v>0.01</v>
      </c>
      <c r="H68" s="16" t="s">
        <v>236</v>
      </c>
      <c r="I68" s="16" t="s">
        <v>237</v>
      </c>
      <c r="J68" s="1"/>
      <c r="K68" s="1"/>
      <c r="L68" s="1"/>
    </row>
    <row r="69" ht="15.6" spans="1:12">
      <c r="A69" s="16" t="s">
        <v>437</v>
      </c>
      <c r="B69" s="16" t="s">
        <v>438</v>
      </c>
      <c r="C69" s="16" t="s">
        <v>232</v>
      </c>
      <c r="D69" s="16" t="s">
        <v>233</v>
      </c>
      <c r="E69" s="16" t="s">
        <v>232</v>
      </c>
      <c r="F69" s="16" t="s">
        <v>439</v>
      </c>
      <c r="G69" s="22">
        <v>0.01</v>
      </c>
      <c r="H69" s="16" t="s">
        <v>236</v>
      </c>
      <c r="I69" s="16" t="s">
        <v>237</v>
      </c>
      <c r="J69" s="1"/>
      <c r="K69" s="1"/>
      <c r="L69" s="1"/>
    </row>
    <row r="70" ht="15.6" spans="1:12">
      <c r="A70" s="16" t="s">
        <v>440</v>
      </c>
      <c r="B70" s="16" t="s">
        <v>441</v>
      </c>
      <c r="C70" s="16" t="s">
        <v>232</v>
      </c>
      <c r="D70" s="16" t="s">
        <v>233</v>
      </c>
      <c r="E70" s="16" t="s">
        <v>232</v>
      </c>
      <c r="F70" s="16" t="s">
        <v>442</v>
      </c>
      <c r="G70" s="22">
        <v>0.01</v>
      </c>
      <c r="H70" s="16" t="s">
        <v>236</v>
      </c>
      <c r="I70" s="16" t="s">
        <v>237</v>
      </c>
      <c r="J70" s="1"/>
      <c r="K70" s="1"/>
      <c r="L70" s="1"/>
    </row>
    <row r="71" ht="15.6" spans="1:12">
      <c r="A71" s="16" t="s">
        <v>443</v>
      </c>
      <c r="B71" s="16" t="s">
        <v>444</v>
      </c>
      <c r="C71" s="16" t="s">
        <v>232</v>
      </c>
      <c r="D71" s="16" t="s">
        <v>233</v>
      </c>
      <c r="E71" s="16" t="s">
        <v>232</v>
      </c>
      <c r="F71" s="16" t="s">
        <v>445</v>
      </c>
      <c r="G71" s="22">
        <v>0.01</v>
      </c>
      <c r="H71" s="16" t="s">
        <v>236</v>
      </c>
      <c r="I71" s="16" t="s">
        <v>237</v>
      </c>
      <c r="J71" s="1"/>
      <c r="K71" s="1"/>
      <c r="L71" s="1"/>
    </row>
    <row r="72" ht="15.6" spans="1:12">
      <c r="A72" s="16" t="s">
        <v>446</v>
      </c>
      <c r="B72" s="16" t="s">
        <v>447</v>
      </c>
      <c r="C72" s="16" t="s">
        <v>232</v>
      </c>
      <c r="D72" s="16" t="s">
        <v>233</v>
      </c>
      <c r="E72" s="16" t="s">
        <v>232</v>
      </c>
      <c r="F72" s="16" t="s">
        <v>448</v>
      </c>
      <c r="G72" s="22">
        <v>0.01</v>
      </c>
      <c r="H72" s="16" t="s">
        <v>236</v>
      </c>
      <c r="I72" s="16" t="s">
        <v>237</v>
      </c>
      <c r="J72" s="1"/>
      <c r="K72" s="1"/>
      <c r="L72" s="1"/>
    </row>
    <row r="73" ht="15.6" spans="1:12">
      <c r="A73" s="16" t="s">
        <v>449</v>
      </c>
      <c r="B73" s="16" t="s">
        <v>450</v>
      </c>
      <c r="C73" s="16" t="s">
        <v>232</v>
      </c>
      <c r="D73" s="16" t="s">
        <v>233</v>
      </c>
      <c r="E73" s="16" t="s">
        <v>232</v>
      </c>
      <c r="F73" s="16" t="s">
        <v>451</v>
      </c>
      <c r="G73" s="22">
        <v>0.01</v>
      </c>
      <c r="H73" s="16" t="s">
        <v>236</v>
      </c>
      <c r="I73" s="16" t="s">
        <v>237</v>
      </c>
      <c r="J73" s="1"/>
      <c r="K73" s="1"/>
      <c r="L73" s="1"/>
    </row>
    <row r="74" ht="15.6" spans="1:12">
      <c r="A74" s="16" t="s">
        <v>452</v>
      </c>
      <c r="B74" s="16" t="s">
        <v>453</v>
      </c>
      <c r="C74" s="16" t="s">
        <v>232</v>
      </c>
      <c r="D74" s="16" t="s">
        <v>233</v>
      </c>
      <c r="E74" s="16" t="s">
        <v>232</v>
      </c>
      <c r="F74" s="16" t="s">
        <v>454</v>
      </c>
      <c r="G74" s="22">
        <v>0.01</v>
      </c>
      <c r="H74" s="16" t="s">
        <v>236</v>
      </c>
      <c r="I74" s="16" t="s">
        <v>237</v>
      </c>
      <c r="J74" s="1"/>
      <c r="K74" s="1"/>
      <c r="L74" s="1"/>
    </row>
    <row r="75" ht="15.6" spans="1:12">
      <c r="A75" s="16" t="s">
        <v>455</v>
      </c>
      <c r="B75" s="16" t="s">
        <v>456</v>
      </c>
      <c r="C75" s="16" t="s">
        <v>232</v>
      </c>
      <c r="D75" s="16" t="s">
        <v>233</v>
      </c>
      <c r="E75" s="16" t="s">
        <v>232</v>
      </c>
      <c r="F75" s="16" t="s">
        <v>457</v>
      </c>
      <c r="G75" s="22">
        <v>0.01</v>
      </c>
      <c r="H75" s="16" t="s">
        <v>236</v>
      </c>
      <c r="I75" s="16" t="s">
        <v>237</v>
      </c>
      <c r="J75" s="1"/>
      <c r="K75" s="1"/>
      <c r="L75" s="1"/>
    </row>
    <row r="76" ht="15.6" spans="1:12">
      <c r="A76" s="16" t="s">
        <v>458</v>
      </c>
      <c r="B76" s="16" t="s">
        <v>459</v>
      </c>
      <c r="C76" s="16" t="s">
        <v>232</v>
      </c>
      <c r="D76" s="16" t="s">
        <v>233</v>
      </c>
      <c r="E76" s="16" t="s">
        <v>232</v>
      </c>
      <c r="F76" s="16" t="s">
        <v>460</v>
      </c>
      <c r="G76" s="22">
        <v>0.01</v>
      </c>
      <c r="H76" s="16" t="s">
        <v>236</v>
      </c>
      <c r="I76" s="16" t="s">
        <v>237</v>
      </c>
      <c r="J76" s="1"/>
      <c r="K76" s="1"/>
      <c r="L76" s="1"/>
    </row>
    <row r="77" ht="15.6" spans="1:12">
      <c r="A77" s="16" t="s">
        <v>461</v>
      </c>
      <c r="B77" s="16" t="s">
        <v>462</v>
      </c>
      <c r="C77" s="16" t="s">
        <v>232</v>
      </c>
      <c r="D77" s="16" t="s">
        <v>233</v>
      </c>
      <c r="E77" s="16" t="s">
        <v>232</v>
      </c>
      <c r="F77" s="16" t="s">
        <v>463</v>
      </c>
      <c r="G77" s="22">
        <v>0.01</v>
      </c>
      <c r="H77" s="16" t="s">
        <v>236</v>
      </c>
      <c r="I77" s="16" t="s">
        <v>237</v>
      </c>
      <c r="J77" s="1"/>
      <c r="K77" s="1"/>
      <c r="L77" s="1"/>
    </row>
    <row r="78" ht="15.6" spans="1:12">
      <c r="A78" s="16" t="s">
        <v>464</v>
      </c>
      <c r="B78" s="16" t="s">
        <v>465</v>
      </c>
      <c r="C78" s="16" t="s">
        <v>232</v>
      </c>
      <c r="D78" s="16" t="s">
        <v>233</v>
      </c>
      <c r="E78" s="16" t="s">
        <v>232</v>
      </c>
      <c r="F78" s="16" t="s">
        <v>466</v>
      </c>
      <c r="G78" s="22">
        <v>0.01</v>
      </c>
      <c r="H78" s="16" t="s">
        <v>236</v>
      </c>
      <c r="I78" s="16" t="s">
        <v>237</v>
      </c>
      <c r="J78" s="1"/>
      <c r="K78" s="1"/>
      <c r="L78" s="1"/>
    </row>
    <row r="79" ht="15.6" spans="1:12">
      <c r="A79" s="16" t="s">
        <v>467</v>
      </c>
      <c r="B79" s="16" t="s">
        <v>468</v>
      </c>
      <c r="C79" s="16" t="s">
        <v>232</v>
      </c>
      <c r="D79" s="16" t="s">
        <v>233</v>
      </c>
      <c r="E79" s="16" t="s">
        <v>232</v>
      </c>
      <c r="F79" s="16" t="s">
        <v>469</v>
      </c>
      <c r="G79" s="22">
        <v>0.01</v>
      </c>
      <c r="H79" s="16" t="s">
        <v>236</v>
      </c>
      <c r="I79" s="16" t="s">
        <v>237</v>
      </c>
      <c r="J79" s="16" t="s">
        <v>432</v>
      </c>
      <c r="K79" s="1" t="s">
        <v>433</v>
      </c>
      <c r="L79" s="1"/>
    </row>
    <row r="80" ht="15.6" spans="1:12">
      <c r="A80" s="16" t="s">
        <v>470</v>
      </c>
      <c r="B80" s="16" t="s">
        <v>471</v>
      </c>
      <c r="C80" s="16" t="s">
        <v>232</v>
      </c>
      <c r="D80" s="16" t="s">
        <v>233</v>
      </c>
      <c r="E80" s="16" t="s">
        <v>232</v>
      </c>
      <c r="F80" s="16" t="s">
        <v>472</v>
      </c>
      <c r="G80" s="22">
        <v>0.01</v>
      </c>
      <c r="H80" s="16" t="s">
        <v>236</v>
      </c>
      <c r="I80" s="16" t="s">
        <v>237</v>
      </c>
      <c r="J80" s="1"/>
      <c r="K80" s="1"/>
      <c r="L80" s="1"/>
    </row>
    <row r="81" ht="15.6" spans="1:12">
      <c r="A81" s="16" t="s">
        <v>473</v>
      </c>
      <c r="B81" s="16" t="s">
        <v>474</v>
      </c>
      <c r="C81" s="16" t="s">
        <v>232</v>
      </c>
      <c r="D81" s="16" t="s">
        <v>233</v>
      </c>
      <c r="E81" s="16" t="s">
        <v>232</v>
      </c>
      <c r="F81" s="16" t="s">
        <v>475</v>
      </c>
      <c r="G81" s="22">
        <v>0.01</v>
      </c>
      <c r="H81" s="16" t="s">
        <v>236</v>
      </c>
      <c r="I81" s="16" t="s">
        <v>237</v>
      </c>
      <c r="J81" s="1"/>
      <c r="K81" s="1"/>
      <c r="L81" s="1"/>
    </row>
    <row r="82" ht="15.6" spans="1:12">
      <c r="A82" s="16" t="s">
        <v>476</v>
      </c>
      <c r="B82" s="16" t="s">
        <v>477</v>
      </c>
      <c r="C82" s="16" t="s">
        <v>232</v>
      </c>
      <c r="D82" s="16" t="s">
        <v>233</v>
      </c>
      <c r="E82" s="16" t="s">
        <v>232</v>
      </c>
      <c r="F82" s="16" t="s">
        <v>478</v>
      </c>
      <c r="G82" s="22">
        <v>0.01</v>
      </c>
      <c r="H82" s="16" t="s">
        <v>236</v>
      </c>
      <c r="I82" s="16" t="s">
        <v>237</v>
      </c>
      <c r="J82" s="1"/>
      <c r="K82" s="1"/>
      <c r="L82" s="1"/>
    </row>
    <row r="83" ht="15.6" spans="1:12">
      <c r="A83" s="16" t="s">
        <v>479</v>
      </c>
      <c r="B83" s="16" t="s">
        <v>480</v>
      </c>
      <c r="C83" s="16" t="s">
        <v>232</v>
      </c>
      <c r="D83" s="16" t="s">
        <v>233</v>
      </c>
      <c r="E83" s="16" t="s">
        <v>232</v>
      </c>
      <c r="F83" s="16" t="s">
        <v>481</v>
      </c>
      <c r="G83" s="22">
        <v>0.01</v>
      </c>
      <c r="H83" s="16" t="s">
        <v>236</v>
      </c>
      <c r="I83" s="16" t="s">
        <v>237</v>
      </c>
      <c r="J83" s="1"/>
      <c r="K83" s="1"/>
      <c r="L83" s="1"/>
    </row>
    <row r="84" ht="15.6" spans="1:12">
      <c r="A84" s="16" t="s">
        <v>482</v>
      </c>
      <c r="B84" s="16" t="s">
        <v>483</v>
      </c>
      <c r="C84" s="16" t="s">
        <v>232</v>
      </c>
      <c r="D84" s="16" t="s">
        <v>233</v>
      </c>
      <c r="E84" s="16" t="s">
        <v>232</v>
      </c>
      <c r="F84" s="16" t="s">
        <v>484</v>
      </c>
      <c r="G84" s="22">
        <v>0.01</v>
      </c>
      <c r="H84" s="16" t="s">
        <v>236</v>
      </c>
      <c r="I84" s="16" t="s">
        <v>237</v>
      </c>
      <c r="J84" s="1"/>
      <c r="K84" s="1"/>
      <c r="L84" s="1"/>
    </row>
    <row r="85" ht="15.6" spans="1:12">
      <c r="A85" s="16" t="s">
        <v>485</v>
      </c>
      <c r="B85" s="16" t="s">
        <v>486</v>
      </c>
      <c r="C85" s="16" t="s">
        <v>232</v>
      </c>
      <c r="D85" s="16" t="s">
        <v>233</v>
      </c>
      <c r="E85" s="16" t="s">
        <v>232</v>
      </c>
      <c r="F85" s="16" t="s">
        <v>487</v>
      </c>
      <c r="G85" s="22">
        <v>0.01</v>
      </c>
      <c r="H85" s="16" t="s">
        <v>236</v>
      </c>
      <c r="I85" s="16" t="s">
        <v>237</v>
      </c>
      <c r="J85" s="16" t="s">
        <v>432</v>
      </c>
      <c r="K85" s="1" t="s">
        <v>433</v>
      </c>
      <c r="L85" s="1"/>
    </row>
    <row r="86" ht="15.6" spans="1:12">
      <c r="A86" s="16" t="s">
        <v>488</v>
      </c>
      <c r="B86" s="16" t="s">
        <v>489</v>
      </c>
      <c r="C86" s="16" t="s">
        <v>232</v>
      </c>
      <c r="D86" s="16" t="s">
        <v>233</v>
      </c>
      <c r="E86" s="16" t="s">
        <v>232</v>
      </c>
      <c r="F86" s="16" t="s">
        <v>490</v>
      </c>
      <c r="G86" s="22">
        <v>0.01</v>
      </c>
      <c r="H86" s="16" t="s">
        <v>236</v>
      </c>
      <c r="I86" s="16" t="s">
        <v>237</v>
      </c>
      <c r="J86" s="16" t="s">
        <v>432</v>
      </c>
      <c r="K86" s="1" t="s">
        <v>433</v>
      </c>
      <c r="L86" s="1"/>
    </row>
    <row r="87" ht="15.6" spans="1:12">
      <c r="A87" s="16" t="s">
        <v>491</v>
      </c>
      <c r="B87" s="16" t="s">
        <v>492</v>
      </c>
      <c r="C87" s="16" t="s">
        <v>232</v>
      </c>
      <c r="D87" s="16" t="s">
        <v>233</v>
      </c>
      <c r="E87" s="16" t="s">
        <v>232</v>
      </c>
      <c r="F87" s="16" t="s">
        <v>493</v>
      </c>
      <c r="G87" s="22">
        <v>0.01</v>
      </c>
      <c r="H87" s="16" t="s">
        <v>236</v>
      </c>
      <c r="I87" s="16" t="s">
        <v>237</v>
      </c>
      <c r="J87" s="1"/>
      <c r="K87" s="1"/>
      <c r="L87" s="1"/>
    </row>
    <row r="88" ht="15.6" spans="1:12">
      <c r="A88" s="16" t="s">
        <v>494</v>
      </c>
      <c r="B88" s="16" t="s">
        <v>495</v>
      </c>
      <c r="C88" s="16" t="s">
        <v>232</v>
      </c>
      <c r="D88" s="16" t="s">
        <v>233</v>
      </c>
      <c r="E88" s="16" t="s">
        <v>232</v>
      </c>
      <c r="F88" s="16" t="s">
        <v>496</v>
      </c>
      <c r="G88" s="22">
        <v>0.01</v>
      </c>
      <c r="H88" s="16" t="s">
        <v>236</v>
      </c>
      <c r="I88" s="16" t="s">
        <v>237</v>
      </c>
      <c r="J88" s="1"/>
      <c r="K88" s="1"/>
      <c r="L88" s="1"/>
    </row>
    <row r="89" ht="15.6" spans="1:12">
      <c r="A89" s="16" t="s">
        <v>497</v>
      </c>
      <c r="B89" s="16" t="s">
        <v>498</v>
      </c>
      <c r="C89" s="16" t="s">
        <v>232</v>
      </c>
      <c r="D89" s="16" t="s">
        <v>233</v>
      </c>
      <c r="E89" s="16" t="s">
        <v>232</v>
      </c>
      <c r="F89" s="16" t="s">
        <v>499</v>
      </c>
      <c r="G89" s="22">
        <v>0.01</v>
      </c>
      <c r="H89" s="16" t="s">
        <v>236</v>
      </c>
      <c r="I89" s="16" t="s">
        <v>237</v>
      </c>
      <c r="J89" s="1"/>
      <c r="K89" s="1"/>
      <c r="L89" s="1"/>
    </row>
    <row r="90" ht="15.6" spans="1:12">
      <c r="A90" s="16" t="s">
        <v>500</v>
      </c>
      <c r="B90" s="16" t="s">
        <v>501</v>
      </c>
      <c r="C90" s="16" t="s">
        <v>232</v>
      </c>
      <c r="D90" s="16" t="s">
        <v>233</v>
      </c>
      <c r="E90" s="16" t="s">
        <v>232</v>
      </c>
      <c r="F90" s="16" t="s">
        <v>502</v>
      </c>
      <c r="G90" s="22">
        <v>0.01</v>
      </c>
      <c r="H90" s="16" t="s">
        <v>236</v>
      </c>
      <c r="I90" s="16" t="s">
        <v>237</v>
      </c>
      <c r="J90" s="1"/>
      <c r="K90" s="1"/>
      <c r="L90" s="1"/>
    </row>
    <row r="91" ht="15.6" spans="1:12">
      <c r="A91" s="16" t="s">
        <v>503</v>
      </c>
      <c r="B91" s="16" t="s">
        <v>504</v>
      </c>
      <c r="C91" s="16" t="s">
        <v>232</v>
      </c>
      <c r="D91" s="16" t="s">
        <v>233</v>
      </c>
      <c r="E91" s="16" t="s">
        <v>232</v>
      </c>
      <c r="F91" s="16" t="s">
        <v>505</v>
      </c>
      <c r="G91" s="22">
        <v>0.01</v>
      </c>
      <c r="H91" s="16" t="s">
        <v>236</v>
      </c>
      <c r="I91" s="16" t="s">
        <v>237</v>
      </c>
      <c r="J91" s="1"/>
      <c r="K91" s="1"/>
      <c r="L91" s="1"/>
    </row>
    <row r="92" ht="15.6" spans="1:12">
      <c r="A92" s="16" t="s">
        <v>506</v>
      </c>
      <c r="B92" s="16" t="s">
        <v>507</v>
      </c>
      <c r="C92" s="16" t="s">
        <v>232</v>
      </c>
      <c r="D92" s="16" t="s">
        <v>233</v>
      </c>
      <c r="E92" s="16" t="s">
        <v>232</v>
      </c>
      <c r="F92" s="16" t="s">
        <v>508</v>
      </c>
      <c r="G92" s="22">
        <v>0.01</v>
      </c>
      <c r="H92" s="16" t="s">
        <v>236</v>
      </c>
      <c r="I92" s="16" t="s">
        <v>237</v>
      </c>
      <c r="J92" s="1"/>
      <c r="K92" s="1"/>
      <c r="L92" s="1"/>
    </row>
    <row r="93" ht="15.6" spans="1:12">
      <c r="A93" s="16" t="s">
        <v>509</v>
      </c>
      <c r="B93" s="16" t="s">
        <v>510</v>
      </c>
      <c r="C93" s="16" t="s">
        <v>232</v>
      </c>
      <c r="D93" s="16" t="s">
        <v>233</v>
      </c>
      <c r="E93" s="16" t="s">
        <v>232</v>
      </c>
      <c r="F93" s="16" t="s">
        <v>511</v>
      </c>
      <c r="G93" s="22">
        <v>0.01</v>
      </c>
      <c r="H93" s="16" t="s">
        <v>236</v>
      </c>
      <c r="I93" s="16" t="s">
        <v>237</v>
      </c>
      <c r="J93" s="1"/>
      <c r="K93" s="1"/>
      <c r="L93" s="1"/>
    </row>
    <row r="94" ht="15.6" spans="1:12">
      <c r="A94" s="16" t="s">
        <v>512</v>
      </c>
      <c r="B94" s="16" t="s">
        <v>513</v>
      </c>
      <c r="C94" s="16" t="s">
        <v>232</v>
      </c>
      <c r="D94" s="16" t="s">
        <v>233</v>
      </c>
      <c r="E94" s="16" t="s">
        <v>232</v>
      </c>
      <c r="F94" s="16" t="s">
        <v>514</v>
      </c>
      <c r="G94" s="22">
        <v>0.01</v>
      </c>
      <c r="H94" s="16" t="s">
        <v>236</v>
      </c>
      <c r="I94" s="16" t="s">
        <v>237</v>
      </c>
      <c r="J94" s="1"/>
      <c r="K94" s="1"/>
      <c r="L94" s="1"/>
    </row>
    <row r="95" ht="15.6" spans="1:12">
      <c r="A95" s="16" t="s">
        <v>515</v>
      </c>
      <c r="B95" s="16" t="s">
        <v>516</v>
      </c>
      <c r="C95" s="16" t="s">
        <v>232</v>
      </c>
      <c r="D95" s="16" t="s">
        <v>233</v>
      </c>
      <c r="E95" s="16" t="s">
        <v>232</v>
      </c>
      <c r="F95" s="16" t="s">
        <v>517</v>
      </c>
      <c r="G95" s="22">
        <v>0.01</v>
      </c>
      <c r="H95" s="16" t="s">
        <v>236</v>
      </c>
      <c r="I95" s="16" t="s">
        <v>237</v>
      </c>
      <c r="J95" s="1"/>
      <c r="K95" s="1"/>
      <c r="L95" s="1"/>
    </row>
    <row r="96" ht="15.6" spans="1:12">
      <c r="A96" s="16" t="s">
        <v>518</v>
      </c>
      <c r="B96" s="16" t="s">
        <v>519</v>
      </c>
      <c r="C96" s="16" t="s">
        <v>232</v>
      </c>
      <c r="D96" s="16" t="s">
        <v>233</v>
      </c>
      <c r="E96" s="16" t="s">
        <v>232</v>
      </c>
      <c r="F96" s="16" t="s">
        <v>520</v>
      </c>
      <c r="G96" s="22">
        <v>0.01</v>
      </c>
      <c r="H96" s="16" t="s">
        <v>236</v>
      </c>
      <c r="I96" s="16" t="s">
        <v>237</v>
      </c>
      <c r="J96" s="1"/>
      <c r="K96" s="1"/>
      <c r="L96" s="1"/>
    </row>
    <row r="97" ht="15.6" spans="1:12">
      <c r="A97" s="16" t="s">
        <v>521</v>
      </c>
      <c r="B97" s="16" t="s">
        <v>522</v>
      </c>
      <c r="C97" s="16" t="s">
        <v>232</v>
      </c>
      <c r="D97" s="16" t="s">
        <v>233</v>
      </c>
      <c r="E97" s="16" t="s">
        <v>232</v>
      </c>
      <c r="F97" s="16" t="s">
        <v>523</v>
      </c>
      <c r="G97" s="22">
        <v>0.01</v>
      </c>
      <c r="H97" s="16" t="s">
        <v>236</v>
      </c>
      <c r="I97" s="16" t="s">
        <v>237</v>
      </c>
      <c r="J97" s="1"/>
      <c r="K97" s="1"/>
      <c r="L97" s="1"/>
    </row>
    <row r="98" ht="15.6" spans="1:12">
      <c r="A98" s="16" t="s">
        <v>524</v>
      </c>
      <c r="B98" s="16" t="s">
        <v>525</v>
      </c>
      <c r="C98" s="16" t="s">
        <v>232</v>
      </c>
      <c r="D98" s="16" t="s">
        <v>233</v>
      </c>
      <c r="E98" s="16" t="s">
        <v>232</v>
      </c>
      <c r="F98" s="16" t="s">
        <v>526</v>
      </c>
      <c r="G98" s="22">
        <v>0.01</v>
      </c>
      <c r="H98" s="16" t="s">
        <v>236</v>
      </c>
      <c r="I98" s="16" t="s">
        <v>237</v>
      </c>
      <c r="J98" s="16" t="s">
        <v>432</v>
      </c>
      <c r="K98" s="1" t="s">
        <v>433</v>
      </c>
      <c r="L98" s="1"/>
    </row>
    <row r="99" ht="15.6" spans="1:12">
      <c r="A99" s="16" t="s">
        <v>527</v>
      </c>
      <c r="B99" s="16" t="s">
        <v>528</v>
      </c>
      <c r="C99" s="16" t="s">
        <v>232</v>
      </c>
      <c r="D99" s="16" t="s">
        <v>233</v>
      </c>
      <c r="E99" s="16" t="s">
        <v>232</v>
      </c>
      <c r="F99" s="16" t="s">
        <v>529</v>
      </c>
      <c r="G99" s="22">
        <v>0.01</v>
      </c>
      <c r="H99" s="16" t="s">
        <v>236</v>
      </c>
      <c r="I99" s="16" t="s">
        <v>237</v>
      </c>
      <c r="J99" s="1"/>
      <c r="K99" s="1"/>
      <c r="L99" s="1"/>
    </row>
    <row r="100" ht="15.6" spans="1:12">
      <c r="A100" s="16" t="s">
        <v>530</v>
      </c>
      <c r="B100" s="16" t="s">
        <v>531</v>
      </c>
      <c r="C100" s="16" t="s">
        <v>232</v>
      </c>
      <c r="D100" s="16" t="s">
        <v>233</v>
      </c>
      <c r="E100" s="16" t="s">
        <v>232</v>
      </c>
      <c r="F100" s="16" t="s">
        <v>532</v>
      </c>
      <c r="G100" s="22">
        <v>0.01</v>
      </c>
      <c r="H100" s="16" t="s">
        <v>236</v>
      </c>
      <c r="I100" s="16" t="s">
        <v>237</v>
      </c>
      <c r="J100" s="1"/>
      <c r="K100" s="1"/>
      <c r="L100" s="1"/>
    </row>
    <row r="101" ht="15.6" spans="1:12">
      <c r="A101" s="16" t="s">
        <v>533</v>
      </c>
      <c r="B101" s="16" t="s">
        <v>534</v>
      </c>
      <c r="C101" s="16" t="s">
        <v>232</v>
      </c>
      <c r="D101" s="16" t="s">
        <v>233</v>
      </c>
      <c r="E101" s="16" t="s">
        <v>232</v>
      </c>
      <c r="F101" s="16" t="s">
        <v>535</v>
      </c>
      <c r="G101" s="22">
        <v>0.01</v>
      </c>
      <c r="H101" s="16" t="s">
        <v>236</v>
      </c>
      <c r="I101" s="16" t="s">
        <v>237</v>
      </c>
      <c r="J101" s="1"/>
      <c r="K101" s="1"/>
      <c r="L101" s="1"/>
    </row>
    <row r="102" ht="15.6" spans="1:12">
      <c r="A102" s="16" t="s">
        <v>536</v>
      </c>
      <c r="B102" s="16" t="s">
        <v>537</v>
      </c>
      <c r="C102" s="16" t="s">
        <v>232</v>
      </c>
      <c r="D102" s="16" t="s">
        <v>233</v>
      </c>
      <c r="E102" s="16" t="s">
        <v>232</v>
      </c>
      <c r="F102" s="16" t="s">
        <v>538</v>
      </c>
      <c r="G102" s="22">
        <v>0.01</v>
      </c>
      <c r="H102" s="16" t="s">
        <v>236</v>
      </c>
      <c r="I102" s="16" t="s">
        <v>237</v>
      </c>
      <c r="J102" s="1"/>
      <c r="K102" s="1"/>
      <c r="L102" s="1"/>
    </row>
    <row r="103" ht="15.6" spans="1:12">
      <c r="A103" s="16" t="s">
        <v>539</v>
      </c>
      <c r="B103" s="16" t="s">
        <v>540</v>
      </c>
      <c r="C103" s="16" t="s">
        <v>232</v>
      </c>
      <c r="D103" s="16" t="s">
        <v>233</v>
      </c>
      <c r="E103" s="16" t="s">
        <v>232</v>
      </c>
      <c r="F103" s="16" t="s">
        <v>541</v>
      </c>
      <c r="G103" s="22">
        <v>0.01</v>
      </c>
      <c r="H103" s="16" t="s">
        <v>236</v>
      </c>
      <c r="I103" s="16" t="s">
        <v>237</v>
      </c>
      <c r="J103" s="1"/>
      <c r="K103" s="1"/>
      <c r="L103" s="1"/>
    </row>
    <row r="104" ht="15.6" spans="1:12">
      <c r="A104" s="16" t="s">
        <v>542</v>
      </c>
      <c r="B104" s="16" t="s">
        <v>543</v>
      </c>
      <c r="C104" s="16" t="s">
        <v>232</v>
      </c>
      <c r="D104" s="16" t="s">
        <v>233</v>
      </c>
      <c r="E104" s="16" t="s">
        <v>232</v>
      </c>
      <c r="F104" s="16" t="s">
        <v>544</v>
      </c>
      <c r="G104" s="22">
        <v>0.01</v>
      </c>
      <c r="H104" s="16" t="s">
        <v>236</v>
      </c>
      <c r="I104" s="16" t="s">
        <v>237</v>
      </c>
      <c r="J104" s="1"/>
      <c r="K104" s="1"/>
      <c r="L104" s="1"/>
    </row>
    <row r="105" ht="15.6" spans="1:12">
      <c r="A105" s="16" t="s">
        <v>545</v>
      </c>
      <c r="B105" s="16" t="s">
        <v>546</v>
      </c>
      <c r="C105" s="16" t="s">
        <v>232</v>
      </c>
      <c r="D105" s="16" t="s">
        <v>233</v>
      </c>
      <c r="E105" s="16" t="s">
        <v>232</v>
      </c>
      <c r="F105" s="16" t="s">
        <v>547</v>
      </c>
      <c r="G105" s="22">
        <v>0.01</v>
      </c>
      <c r="H105" s="16" t="s">
        <v>236</v>
      </c>
      <c r="I105" s="16" t="s">
        <v>237</v>
      </c>
      <c r="J105" s="1"/>
      <c r="K105" s="1"/>
      <c r="L105" s="1"/>
    </row>
    <row r="106" ht="15.6" spans="1:12">
      <c r="A106" s="16" t="s">
        <v>548</v>
      </c>
      <c r="B106" s="16" t="s">
        <v>549</v>
      </c>
      <c r="C106" s="16" t="s">
        <v>232</v>
      </c>
      <c r="D106" s="16" t="s">
        <v>233</v>
      </c>
      <c r="E106" s="16" t="s">
        <v>232</v>
      </c>
      <c r="F106" s="16" t="s">
        <v>550</v>
      </c>
      <c r="G106" s="22">
        <v>0.01</v>
      </c>
      <c r="H106" s="16" t="s">
        <v>236</v>
      </c>
      <c r="I106" s="16" t="s">
        <v>237</v>
      </c>
      <c r="J106" s="1"/>
      <c r="K106" s="1"/>
      <c r="L106" s="1"/>
    </row>
    <row r="107" ht="15.6" spans="1:12">
      <c r="A107" s="16" t="s">
        <v>551</v>
      </c>
      <c r="B107" s="16" t="s">
        <v>552</v>
      </c>
      <c r="C107" s="16" t="s">
        <v>232</v>
      </c>
      <c r="D107" s="16" t="s">
        <v>233</v>
      </c>
      <c r="E107" s="16" t="s">
        <v>232</v>
      </c>
      <c r="F107" s="16" t="s">
        <v>553</v>
      </c>
      <c r="G107" s="22">
        <v>0.01</v>
      </c>
      <c r="H107" s="16" t="s">
        <v>236</v>
      </c>
      <c r="I107" s="16" t="s">
        <v>237</v>
      </c>
      <c r="J107" s="1"/>
      <c r="K107" s="1"/>
      <c r="L107" s="1"/>
    </row>
    <row r="108" ht="15.6" spans="1:12">
      <c r="A108" s="16" t="s">
        <v>554</v>
      </c>
      <c r="B108" s="16" t="s">
        <v>555</v>
      </c>
      <c r="C108" s="16" t="s">
        <v>232</v>
      </c>
      <c r="D108" s="16" t="s">
        <v>233</v>
      </c>
      <c r="E108" s="16" t="s">
        <v>232</v>
      </c>
      <c r="F108" s="16" t="s">
        <v>556</v>
      </c>
      <c r="G108" s="22">
        <v>0.01</v>
      </c>
      <c r="H108" s="16" t="s">
        <v>236</v>
      </c>
      <c r="I108" s="16" t="s">
        <v>237</v>
      </c>
      <c r="J108" s="1"/>
      <c r="K108" s="1"/>
      <c r="L108" s="1"/>
    </row>
    <row r="109" ht="15.6" spans="1:12">
      <c r="A109" s="16" t="s">
        <v>557</v>
      </c>
      <c r="B109" s="16" t="s">
        <v>558</v>
      </c>
      <c r="C109" s="16" t="s">
        <v>232</v>
      </c>
      <c r="D109" s="16" t="s">
        <v>233</v>
      </c>
      <c r="E109" s="16" t="s">
        <v>232</v>
      </c>
      <c r="F109" s="16" t="s">
        <v>559</v>
      </c>
      <c r="G109" s="22">
        <v>0.01</v>
      </c>
      <c r="H109" s="16" t="s">
        <v>236</v>
      </c>
      <c r="I109" s="16" t="s">
        <v>237</v>
      </c>
      <c r="J109" s="1"/>
      <c r="K109" s="1"/>
      <c r="L109" s="1"/>
    </row>
    <row r="110" ht="15.6" spans="1:12">
      <c r="A110" s="16" t="s">
        <v>560</v>
      </c>
      <c r="B110" s="16" t="s">
        <v>561</v>
      </c>
      <c r="C110" s="16" t="s">
        <v>232</v>
      </c>
      <c r="D110" s="16" t="s">
        <v>233</v>
      </c>
      <c r="E110" s="16" t="s">
        <v>232</v>
      </c>
      <c r="F110" s="1" t="s">
        <v>562</v>
      </c>
      <c r="G110" s="22">
        <v>0.01</v>
      </c>
      <c r="H110" s="16" t="s">
        <v>236</v>
      </c>
      <c r="I110" s="16" t="s">
        <v>237</v>
      </c>
      <c r="J110" s="1"/>
      <c r="K110" s="1"/>
      <c r="L110" s="1"/>
    </row>
    <row r="111" ht="15.6" spans="1:12">
      <c r="A111" s="16" t="s">
        <v>563</v>
      </c>
      <c r="B111" s="16" t="s">
        <v>564</v>
      </c>
      <c r="C111" s="16" t="s">
        <v>232</v>
      </c>
      <c r="D111" s="16" t="s">
        <v>233</v>
      </c>
      <c r="E111" s="16" t="s">
        <v>232</v>
      </c>
      <c r="F111" s="16" t="s">
        <v>565</v>
      </c>
      <c r="G111" s="22">
        <v>0.01</v>
      </c>
      <c r="H111" s="16" t="s">
        <v>236</v>
      </c>
      <c r="I111" s="16" t="s">
        <v>237</v>
      </c>
      <c r="J111" s="1"/>
      <c r="K111" s="1"/>
      <c r="L111" s="1"/>
    </row>
    <row r="112" ht="15.6" spans="1:12">
      <c r="A112" s="16" t="s">
        <v>566</v>
      </c>
      <c r="B112" s="16" t="s">
        <v>567</v>
      </c>
      <c r="C112" s="16" t="s">
        <v>232</v>
      </c>
      <c r="D112" s="16" t="s">
        <v>233</v>
      </c>
      <c r="E112" s="16" t="s">
        <v>232</v>
      </c>
      <c r="F112" s="16" t="s">
        <v>568</v>
      </c>
      <c r="G112" s="22">
        <v>0.01</v>
      </c>
      <c r="H112" s="16" t="s">
        <v>236</v>
      </c>
      <c r="I112" s="16" t="s">
        <v>237</v>
      </c>
      <c r="J112" s="1"/>
      <c r="K112" s="1"/>
      <c r="L112" s="1"/>
    </row>
    <row r="113" ht="15.6" spans="1:12">
      <c r="A113" s="16" t="s">
        <v>569</v>
      </c>
      <c r="B113" s="16" t="s">
        <v>570</v>
      </c>
      <c r="C113" s="16" t="s">
        <v>232</v>
      </c>
      <c r="D113" s="16" t="s">
        <v>233</v>
      </c>
      <c r="E113" s="16" t="s">
        <v>232</v>
      </c>
      <c r="F113" s="16" t="s">
        <v>571</v>
      </c>
      <c r="G113" s="22">
        <v>0.01</v>
      </c>
      <c r="H113" s="16" t="s">
        <v>236</v>
      </c>
      <c r="I113" s="16" t="s">
        <v>237</v>
      </c>
      <c r="J113" s="1"/>
      <c r="K113" s="1"/>
      <c r="L113" s="1"/>
    </row>
    <row r="114" ht="15.6" spans="1:12">
      <c r="A114" s="16" t="s">
        <v>572</v>
      </c>
      <c r="B114" s="16" t="s">
        <v>573</v>
      </c>
      <c r="C114" s="16" t="s">
        <v>232</v>
      </c>
      <c r="D114" s="16" t="s">
        <v>233</v>
      </c>
      <c r="E114" s="16" t="s">
        <v>232</v>
      </c>
      <c r="F114" s="16" t="s">
        <v>574</v>
      </c>
      <c r="G114" s="22">
        <v>0.01</v>
      </c>
      <c r="H114" s="16" t="s">
        <v>236</v>
      </c>
      <c r="I114" s="16" t="s">
        <v>237</v>
      </c>
      <c r="J114" s="1"/>
      <c r="K114" s="1"/>
      <c r="L114" s="1"/>
    </row>
    <row r="115" ht="15.6" spans="1:12">
      <c r="A115" s="16" t="s">
        <v>575</v>
      </c>
      <c r="B115" s="16" t="s">
        <v>576</v>
      </c>
      <c r="C115" s="16" t="s">
        <v>232</v>
      </c>
      <c r="D115" s="16" t="s">
        <v>233</v>
      </c>
      <c r="E115" s="16" t="s">
        <v>232</v>
      </c>
      <c r="F115" s="16" t="s">
        <v>577</v>
      </c>
      <c r="G115" s="22">
        <v>0.01</v>
      </c>
      <c r="H115" s="16" t="s">
        <v>236</v>
      </c>
      <c r="I115" s="16" t="s">
        <v>237</v>
      </c>
      <c r="J115" s="1"/>
      <c r="K115" s="1"/>
      <c r="L115" s="1"/>
    </row>
    <row r="116" ht="15.6" spans="1:12">
      <c r="A116" s="16" t="s">
        <v>578</v>
      </c>
      <c r="B116" s="16" t="s">
        <v>579</v>
      </c>
      <c r="C116" s="16" t="s">
        <v>232</v>
      </c>
      <c r="D116" s="16" t="s">
        <v>233</v>
      </c>
      <c r="E116" s="16" t="s">
        <v>232</v>
      </c>
      <c r="F116" s="16" t="s">
        <v>580</v>
      </c>
      <c r="G116" s="22">
        <v>0.01</v>
      </c>
      <c r="H116" s="16" t="s">
        <v>236</v>
      </c>
      <c r="I116" s="16" t="s">
        <v>237</v>
      </c>
      <c r="J116" s="1"/>
      <c r="K116" s="1"/>
      <c r="L116" s="1"/>
    </row>
    <row r="117" ht="15.6" spans="1:12">
      <c r="A117" s="16" t="s">
        <v>581</v>
      </c>
      <c r="B117" s="16" t="s">
        <v>582</v>
      </c>
      <c r="C117" s="16" t="s">
        <v>232</v>
      </c>
      <c r="D117" s="16" t="s">
        <v>233</v>
      </c>
      <c r="E117" s="16" t="s">
        <v>232</v>
      </c>
      <c r="F117" s="16" t="s">
        <v>583</v>
      </c>
      <c r="G117" s="22">
        <v>0.01</v>
      </c>
      <c r="H117" s="16" t="s">
        <v>236</v>
      </c>
      <c r="I117" s="16" t="s">
        <v>237</v>
      </c>
      <c r="J117" s="1"/>
      <c r="K117" s="1"/>
      <c r="L117" s="1"/>
    </row>
    <row r="118" ht="15.6" spans="1:12">
      <c r="A118" s="16" t="s">
        <v>584</v>
      </c>
      <c r="B118" s="16" t="s">
        <v>585</v>
      </c>
      <c r="C118" s="16" t="s">
        <v>232</v>
      </c>
      <c r="D118" s="16" t="s">
        <v>233</v>
      </c>
      <c r="E118" s="16" t="s">
        <v>232</v>
      </c>
      <c r="F118" s="16" t="s">
        <v>586</v>
      </c>
      <c r="G118" s="22">
        <v>0.01</v>
      </c>
      <c r="H118" s="16" t="s">
        <v>236</v>
      </c>
      <c r="I118" s="16" t="s">
        <v>237</v>
      </c>
      <c r="J118" s="1"/>
      <c r="K118" s="1"/>
      <c r="L118" s="1"/>
    </row>
    <row r="119" ht="15.6" spans="1:12">
      <c r="A119" s="16" t="s">
        <v>587</v>
      </c>
      <c r="B119" s="16" t="s">
        <v>588</v>
      </c>
      <c r="C119" s="16" t="s">
        <v>232</v>
      </c>
      <c r="D119" s="16" t="s">
        <v>233</v>
      </c>
      <c r="E119" s="16" t="s">
        <v>232</v>
      </c>
      <c r="F119" s="16" t="s">
        <v>589</v>
      </c>
      <c r="G119" s="22">
        <v>0.01</v>
      </c>
      <c r="H119" s="16" t="s">
        <v>236</v>
      </c>
      <c r="I119" s="16" t="s">
        <v>237</v>
      </c>
      <c r="J119" s="1"/>
      <c r="K119" s="1"/>
      <c r="L119" s="1"/>
    </row>
    <row r="120" ht="15.6" spans="1:12">
      <c r="A120" s="16" t="s">
        <v>590</v>
      </c>
      <c r="B120" s="16" t="s">
        <v>591</v>
      </c>
      <c r="C120" s="16" t="s">
        <v>232</v>
      </c>
      <c r="D120" s="16" t="s">
        <v>233</v>
      </c>
      <c r="E120" s="16" t="s">
        <v>232</v>
      </c>
      <c r="F120" s="16" t="s">
        <v>592</v>
      </c>
      <c r="G120" s="22">
        <v>0.01</v>
      </c>
      <c r="H120" s="16" t="s">
        <v>236</v>
      </c>
      <c r="I120" s="16" t="s">
        <v>237</v>
      </c>
      <c r="J120" s="1"/>
      <c r="K120" s="1"/>
      <c r="L120" s="1"/>
    </row>
    <row r="121" ht="15.6" spans="1:12">
      <c r="A121" s="16" t="s">
        <v>593</v>
      </c>
      <c r="B121" s="16" t="s">
        <v>594</v>
      </c>
      <c r="C121" s="16" t="s">
        <v>232</v>
      </c>
      <c r="D121" s="16" t="s">
        <v>233</v>
      </c>
      <c r="E121" s="16" t="s">
        <v>232</v>
      </c>
      <c r="F121" s="16" t="s">
        <v>595</v>
      </c>
      <c r="G121" s="22">
        <v>0.01</v>
      </c>
      <c r="H121" s="16" t="s">
        <v>236</v>
      </c>
      <c r="I121" s="16" t="s">
        <v>237</v>
      </c>
      <c r="J121" s="1"/>
      <c r="K121" s="1"/>
      <c r="L121" s="1"/>
    </row>
    <row r="122" ht="15.6" spans="1:12">
      <c r="A122" s="16" t="s">
        <v>596</v>
      </c>
      <c r="B122" s="16" t="s">
        <v>597</v>
      </c>
      <c r="C122" s="16" t="s">
        <v>232</v>
      </c>
      <c r="D122" s="16" t="s">
        <v>233</v>
      </c>
      <c r="E122" s="16" t="s">
        <v>232</v>
      </c>
      <c r="F122" s="16" t="s">
        <v>598</v>
      </c>
      <c r="G122" s="22">
        <v>0.01</v>
      </c>
      <c r="H122" s="16" t="s">
        <v>236</v>
      </c>
      <c r="I122" s="16" t="s">
        <v>237</v>
      </c>
      <c r="J122" s="1"/>
      <c r="K122" s="1"/>
      <c r="L122" s="1"/>
    </row>
    <row r="123" ht="15.6" spans="1:12">
      <c r="A123" s="16" t="s">
        <v>599</v>
      </c>
      <c r="B123" s="16" t="s">
        <v>600</v>
      </c>
      <c r="C123" s="16" t="s">
        <v>232</v>
      </c>
      <c r="D123" s="16" t="s">
        <v>233</v>
      </c>
      <c r="E123" s="16" t="s">
        <v>232</v>
      </c>
      <c r="F123" s="16" t="s">
        <v>601</v>
      </c>
      <c r="G123" s="22">
        <v>0.01</v>
      </c>
      <c r="H123" s="16" t="s">
        <v>236</v>
      </c>
      <c r="I123" s="16" t="s">
        <v>237</v>
      </c>
      <c r="J123" s="1"/>
      <c r="K123" s="1"/>
      <c r="L123" s="1"/>
    </row>
    <row r="124" ht="15.6" spans="1:12">
      <c r="A124" s="16" t="s">
        <v>602</v>
      </c>
      <c r="B124" s="16" t="s">
        <v>603</v>
      </c>
      <c r="C124" s="16" t="s">
        <v>232</v>
      </c>
      <c r="D124" s="16" t="s">
        <v>233</v>
      </c>
      <c r="E124" s="16" t="s">
        <v>232</v>
      </c>
      <c r="F124" s="16" t="s">
        <v>604</v>
      </c>
      <c r="G124" s="22">
        <v>0.01</v>
      </c>
      <c r="H124" s="16" t="s">
        <v>236</v>
      </c>
      <c r="I124" s="16" t="s">
        <v>237</v>
      </c>
      <c r="J124" s="1"/>
      <c r="K124" s="1"/>
      <c r="L124" s="1"/>
    </row>
    <row r="125" ht="15.6" spans="1:12">
      <c r="A125" s="16" t="s">
        <v>605</v>
      </c>
      <c r="B125" s="16" t="s">
        <v>606</v>
      </c>
      <c r="C125" s="16" t="s">
        <v>232</v>
      </c>
      <c r="D125" s="16" t="s">
        <v>233</v>
      </c>
      <c r="E125" s="16" t="s">
        <v>232</v>
      </c>
      <c r="F125" s="16" t="s">
        <v>607</v>
      </c>
      <c r="G125" s="22">
        <v>0.01</v>
      </c>
      <c r="H125" s="16" t="s">
        <v>236</v>
      </c>
      <c r="I125" s="16" t="s">
        <v>237</v>
      </c>
      <c r="J125" s="1"/>
      <c r="K125" s="1"/>
      <c r="L125" s="1"/>
    </row>
    <row r="126" ht="15.6" spans="1:12">
      <c r="A126" s="16" t="s">
        <v>608</v>
      </c>
      <c r="B126" s="16" t="s">
        <v>609</v>
      </c>
      <c r="C126" s="16" t="s">
        <v>232</v>
      </c>
      <c r="D126" s="16" t="s">
        <v>233</v>
      </c>
      <c r="E126" s="16" t="s">
        <v>232</v>
      </c>
      <c r="F126" s="16" t="s">
        <v>610</v>
      </c>
      <c r="G126" s="22">
        <v>0.01</v>
      </c>
      <c r="H126" s="16" t="s">
        <v>236</v>
      </c>
      <c r="I126" s="16" t="s">
        <v>237</v>
      </c>
      <c r="J126" s="1"/>
      <c r="K126" s="1"/>
      <c r="L126" s="1"/>
    </row>
    <row r="127" ht="15.6" spans="1:12">
      <c r="A127" s="16" t="s">
        <v>611</v>
      </c>
      <c r="B127" s="16" t="s">
        <v>612</v>
      </c>
      <c r="C127" s="16" t="s">
        <v>232</v>
      </c>
      <c r="D127" s="16" t="s">
        <v>233</v>
      </c>
      <c r="E127" s="16" t="s">
        <v>232</v>
      </c>
      <c r="F127" s="16" t="s">
        <v>613</v>
      </c>
      <c r="G127" s="22">
        <v>0.01</v>
      </c>
      <c r="H127" s="16" t="s">
        <v>236</v>
      </c>
      <c r="I127" s="16" t="s">
        <v>237</v>
      </c>
      <c r="J127" s="1"/>
      <c r="K127" s="1"/>
      <c r="L127" s="1"/>
    </row>
    <row r="128" ht="15.6" spans="1:12">
      <c r="A128" s="16" t="s">
        <v>614</v>
      </c>
      <c r="B128" s="16" t="s">
        <v>615</v>
      </c>
      <c r="C128" s="16" t="s">
        <v>232</v>
      </c>
      <c r="D128" s="16" t="s">
        <v>233</v>
      </c>
      <c r="E128" s="16" t="s">
        <v>232</v>
      </c>
      <c r="F128" s="16" t="s">
        <v>616</v>
      </c>
      <c r="G128" s="22">
        <v>0.01</v>
      </c>
      <c r="H128" s="16" t="s">
        <v>236</v>
      </c>
      <c r="I128" s="16" t="s">
        <v>237</v>
      </c>
      <c r="J128" s="1"/>
      <c r="K128" s="1"/>
      <c r="L128" s="1"/>
    </row>
    <row r="129" ht="15.6" spans="1:12">
      <c r="A129" s="16" t="s">
        <v>617</v>
      </c>
      <c r="B129" s="16" t="s">
        <v>618</v>
      </c>
      <c r="C129" s="16" t="s">
        <v>232</v>
      </c>
      <c r="D129" s="16" t="s">
        <v>233</v>
      </c>
      <c r="E129" s="16" t="s">
        <v>232</v>
      </c>
      <c r="F129" s="16" t="s">
        <v>619</v>
      </c>
      <c r="G129" s="22">
        <v>0.01</v>
      </c>
      <c r="H129" s="16" t="s">
        <v>236</v>
      </c>
      <c r="I129" s="16" t="s">
        <v>237</v>
      </c>
      <c r="J129" s="1"/>
      <c r="K129" s="1"/>
      <c r="L129" s="1"/>
    </row>
    <row r="130" ht="15.6" spans="1:12">
      <c r="A130" s="16" t="s">
        <v>620</v>
      </c>
      <c r="B130" s="16" t="s">
        <v>621</v>
      </c>
      <c r="C130" s="16" t="s">
        <v>232</v>
      </c>
      <c r="D130" s="16" t="s">
        <v>233</v>
      </c>
      <c r="E130" s="16" t="s">
        <v>232</v>
      </c>
      <c r="F130" s="16" t="s">
        <v>622</v>
      </c>
      <c r="G130" s="22">
        <v>0.01</v>
      </c>
      <c r="H130" s="16" t="s">
        <v>236</v>
      </c>
      <c r="I130" s="16" t="s">
        <v>237</v>
      </c>
      <c r="J130" s="1"/>
      <c r="K130" s="1"/>
      <c r="L130" s="1"/>
    </row>
    <row r="131" ht="15.6" spans="1:12">
      <c r="A131" s="16" t="s">
        <v>623</v>
      </c>
      <c r="B131" s="16" t="s">
        <v>624</v>
      </c>
      <c r="C131" s="16" t="s">
        <v>232</v>
      </c>
      <c r="D131" s="16" t="s">
        <v>233</v>
      </c>
      <c r="E131" s="16" t="s">
        <v>232</v>
      </c>
      <c r="F131" s="16" t="s">
        <v>625</v>
      </c>
      <c r="G131" s="22">
        <v>0.01</v>
      </c>
      <c r="H131" s="16" t="s">
        <v>236</v>
      </c>
      <c r="I131" s="16" t="s">
        <v>237</v>
      </c>
      <c r="J131" s="1"/>
      <c r="K131" s="1"/>
      <c r="L131" s="1"/>
    </row>
    <row r="132" ht="15.6" spans="1:12">
      <c r="A132" s="16" t="s">
        <v>626</v>
      </c>
      <c r="B132" s="16" t="s">
        <v>627</v>
      </c>
      <c r="C132" s="16" t="s">
        <v>232</v>
      </c>
      <c r="D132" s="16" t="s">
        <v>233</v>
      </c>
      <c r="E132" s="16" t="s">
        <v>232</v>
      </c>
      <c r="F132" s="16" t="s">
        <v>628</v>
      </c>
      <c r="G132" s="22">
        <v>0.01</v>
      </c>
      <c r="H132" s="16" t="s">
        <v>236</v>
      </c>
      <c r="I132" s="16" t="s">
        <v>237</v>
      </c>
      <c r="J132" s="1"/>
      <c r="K132" s="1"/>
      <c r="L132" s="1"/>
    </row>
    <row r="133" ht="15.6" spans="1:12">
      <c r="A133" s="16" t="s">
        <v>629</v>
      </c>
      <c r="B133" s="16" t="s">
        <v>630</v>
      </c>
      <c r="C133" s="16" t="s">
        <v>232</v>
      </c>
      <c r="D133" s="16" t="s">
        <v>233</v>
      </c>
      <c r="E133" s="16" t="s">
        <v>232</v>
      </c>
      <c r="F133" s="16" t="s">
        <v>631</v>
      </c>
      <c r="G133" s="22">
        <v>0.01</v>
      </c>
      <c r="H133" s="16" t="s">
        <v>236</v>
      </c>
      <c r="I133" s="16" t="s">
        <v>237</v>
      </c>
      <c r="J133" s="1"/>
      <c r="K133" s="1"/>
      <c r="L133" s="1"/>
    </row>
    <row r="134" ht="15.6" spans="1:12">
      <c r="A134" s="16" t="s">
        <v>632</v>
      </c>
      <c r="B134" s="16" t="s">
        <v>633</v>
      </c>
      <c r="C134" s="16" t="s">
        <v>232</v>
      </c>
      <c r="D134" s="16" t="s">
        <v>233</v>
      </c>
      <c r="E134" s="16" t="s">
        <v>232</v>
      </c>
      <c r="F134" s="16" t="s">
        <v>634</v>
      </c>
      <c r="G134" s="22">
        <v>0.01</v>
      </c>
      <c r="H134" s="16" t="s">
        <v>236</v>
      </c>
      <c r="I134" s="16" t="s">
        <v>237</v>
      </c>
      <c r="J134" s="1"/>
      <c r="K134" s="1"/>
      <c r="L134" s="1"/>
    </row>
    <row r="135" ht="15.6" spans="1:12">
      <c r="A135" s="16" t="s">
        <v>635</v>
      </c>
      <c r="B135" s="16" t="s">
        <v>636</v>
      </c>
      <c r="C135" s="16" t="s">
        <v>232</v>
      </c>
      <c r="D135" s="16" t="s">
        <v>233</v>
      </c>
      <c r="E135" s="16" t="s">
        <v>232</v>
      </c>
      <c r="F135" s="16" t="s">
        <v>637</v>
      </c>
      <c r="G135" s="22">
        <v>0.01</v>
      </c>
      <c r="H135" s="16" t="s">
        <v>236</v>
      </c>
      <c r="I135" s="16" t="s">
        <v>237</v>
      </c>
      <c r="J135" s="1"/>
      <c r="K135" s="1"/>
      <c r="L135" s="1"/>
    </row>
    <row r="136" ht="15.6" spans="1:12">
      <c r="A136" s="16" t="s">
        <v>638</v>
      </c>
      <c r="B136" s="16" t="s">
        <v>639</v>
      </c>
      <c r="C136" s="16" t="s">
        <v>232</v>
      </c>
      <c r="D136" s="16" t="s">
        <v>233</v>
      </c>
      <c r="E136" s="16" t="s">
        <v>232</v>
      </c>
      <c r="F136" s="16" t="s">
        <v>640</v>
      </c>
      <c r="G136" s="22">
        <v>0.01</v>
      </c>
      <c r="H136" s="16" t="s">
        <v>236</v>
      </c>
      <c r="I136" s="16" t="s">
        <v>237</v>
      </c>
      <c r="J136" s="1"/>
      <c r="K136" s="1"/>
      <c r="L136" s="1"/>
    </row>
    <row r="137" ht="15.6" spans="1:12">
      <c r="A137" s="16" t="s">
        <v>641</v>
      </c>
      <c r="B137" s="16" t="s">
        <v>642</v>
      </c>
      <c r="C137" s="16" t="s">
        <v>232</v>
      </c>
      <c r="D137" s="16" t="s">
        <v>233</v>
      </c>
      <c r="E137" s="16" t="s">
        <v>232</v>
      </c>
      <c r="F137" s="16" t="s">
        <v>643</v>
      </c>
      <c r="G137" s="22">
        <v>0.01</v>
      </c>
      <c r="H137" s="16" t="s">
        <v>236</v>
      </c>
      <c r="I137" s="16" t="s">
        <v>237</v>
      </c>
      <c r="J137" s="1"/>
      <c r="K137" s="1"/>
      <c r="L137" s="1"/>
    </row>
    <row r="138" ht="15.6" spans="1:12">
      <c r="A138" s="16" t="s">
        <v>644</v>
      </c>
      <c r="B138" s="16" t="s">
        <v>645</v>
      </c>
      <c r="C138" s="16" t="s">
        <v>232</v>
      </c>
      <c r="D138" s="16" t="s">
        <v>233</v>
      </c>
      <c r="E138" s="16" t="s">
        <v>232</v>
      </c>
      <c r="F138" s="16" t="s">
        <v>646</v>
      </c>
      <c r="G138" s="22">
        <v>0.01</v>
      </c>
      <c r="H138" s="16" t="s">
        <v>236</v>
      </c>
      <c r="I138" s="16" t="s">
        <v>237</v>
      </c>
      <c r="J138" s="1"/>
      <c r="K138" s="1"/>
      <c r="L138" s="1"/>
    </row>
    <row r="139" ht="15.6" spans="1:12">
      <c r="A139" s="16" t="s">
        <v>647</v>
      </c>
      <c r="B139" s="16" t="s">
        <v>648</v>
      </c>
      <c r="C139" s="16" t="s">
        <v>232</v>
      </c>
      <c r="D139" s="16" t="s">
        <v>233</v>
      </c>
      <c r="E139" s="16" t="s">
        <v>232</v>
      </c>
      <c r="F139" s="16" t="s">
        <v>649</v>
      </c>
      <c r="G139" s="22">
        <v>0.01</v>
      </c>
      <c r="H139" s="16" t="s">
        <v>236</v>
      </c>
      <c r="I139" s="16" t="s">
        <v>237</v>
      </c>
      <c r="J139" s="1"/>
      <c r="K139" s="1"/>
      <c r="L139" s="1"/>
    </row>
    <row r="140" ht="15.6" spans="1:12">
      <c r="A140" s="16" t="s">
        <v>650</v>
      </c>
      <c r="B140" s="16" t="s">
        <v>651</v>
      </c>
      <c r="C140" s="16" t="s">
        <v>232</v>
      </c>
      <c r="D140" s="16" t="s">
        <v>233</v>
      </c>
      <c r="E140" s="16" t="s">
        <v>232</v>
      </c>
      <c r="F140" s="16" t="s">
        <v>652</v>
      </c>
      <c r="G140" s="22">
        <v>0.01</v>
      </c>
      <c r="H140" s="16" t="s">
        <v>236</v>
      </c>
      <c r="I140" s="16" t="s">
        <v>237</v>
      </c>
      <c r="J140" s="1"/>
      <c r="K140" s="1"/>
      <c r="L140" s="1"/>
    </row>
    <row r="141" ht="15.6" spans="1:12">
      <c r="A141" s="16" t="s">
        <v>653</v>
      </c>
      <c r="B141" s="16" t="s">
        <v>654</v>
      </c>
      <c r="C141" s="16" t="s">
        <v>232</v>
      </c>
      <c r="D141" s="16" t="s">
        <v>233</v>
      </c>
      <c r="E141" s="16" t="s">
        <v>232</v>
      </c>
      <c r="F141" s="16" t="s">
        <v>655</v>
      </c>
      <c r="G141" s="22">
        <v>0.01</v>
      </c>
      <c r="H141" s="16" t="s">
        <v>236</v>
      </c>
      <c r="I141" s="16" t="s">
        <v>237</v>
      </c>
      <c r="J141" s="1"/>
      <c r="K141" s="1"/>
      <c r="L141" s="1"/>
    </row>
    <row r="142" ht="15.6" spans="1:12">
      <c r="A142" s="16" t="s">
        <v>656</v>
      </c>
      <c r="B142" s="16" t="s">
        <v>657</v>
      </c>
      <c r="C142" s="16" t="s">
        <v>232</v>
      </c>
      <c r="D142" s="16" t="s">
        <v>233</v>
      </c>
      <c r="E142" s="16" t="s">
        <v>232</v>
      </c>
      <c r="F142" s="16" t="s">
        <v>658</v>
      </c>
      <c r="G142" s="22">
        <v>0.01</v>
      </c>
      <c r="H142" s="16" t="s">
        <v>236</v>
      </c>
      <c r="I142" s="16" t="s">
        <v>237</v>
      </c>
      <c r="J142" s="1"/>
      <c r="K142" s="1"/>
      <c r="L142" s="1"/>
    </row>
    <row r="143" ht="15.6" spans="1:12">
      <c r="A143" s="16" t="s">
        <v>659</v>
      </c>
      <c r="B143" s="16" t="s">
        <v>660</v>
      </c>
      <c r="C143" s="16" t="s">
        <v>232</v>
      </c>
      <c r="D143" s="16" t="s">
        <v>233</v>
      </c>
      <c r="E143" s="16" t="s">
        <v>232</v>
      </c>
      <c r="F143" s="16" t="s">
        <v>661</v>
      </c>
      <c r="G143" s="22">
        <v>0.01</v>
      </c>
      <c r="H143" s="16" t="s">
        <v>236</v>
      </c>
      <c r="I143" s="16" t="s">
        <v>237</v>
      </c>
      <c r="J143" s="1"/>
      <c r="K143" s="1"/>
      <c r="L143" s="1"/>
    </row>
    <row r="144" ht="15.6" spans="1:12">
      <c r="A144" s="16" t="s">
        <v>662</v>
      </c>
      <c r="B144" s="16" t="s">
        <v>663</v>
      </c>
      <c r="C144" s="16" t="s">
        <v>232</v>
      </c>
      <c r="D144" s="16" t="s">
        <v>233</v>
      </c>
      <c r="E144" s="16" t="s">
        <v>232</v>
      </c>
      <c r="F144" s="16" t="s">
        <v>664</v>
      </c>
      <c r="G144" s="22">
        <v>0.01</v>
      </c>
      <c r="H144" s="16" t="s">
        <v>236</v>
      </c>
      <c r="I144" s="16" t="s">
        <v>237</v>
      </c>
      <c r="J144" s="1"/>
      <c r="K144" s="1"/>
      <c r="L144" s="1"/>
    </row>
    <row r="145" ht="15.6" spans="1:12">
      <c r="A145" s="16" t="s">
        <v>665</v>
      </c>
      <c r="B145" s="16" t="s">
        <v>666</v>
      </c>
      <c r="C145" s="16" t="s">
        <v>232</v>
      </c>
      <c r="D145" s="16" t="s">
        <v>233</v>
      </c>
      <c r="E145" s="16" t="s">
        <v>232</v>
      </c>
      <c r="F145" s="16" t="s">
        <v>667</v>
      </c>
      <c r="G145" s="22">
        <v>0.01</v>
      </c>
      <c r="H145" s="16" t="s">
        <v>236</v>
      </c>
      <c r="I145" s="16" t="s">
        <v>237</v>
      </c>
      <c r="J145" s="1"/>
      <c r="K145" s="1"/>
      <c r="L145" s="1"/>
    </row>
    <row r="146" ht="15.6" spans="1:12">
      <c r="A146" s="16" t="s">
        <v>668</v>
      </c>
      <c r="B146" s="16" t="s">
        <v>669</v>
      </c>
      <c r="C146" s="16" t="s">
        <v>232</v>
      </c>
      <c r="D146" s="16" t="s">
        <v>233</v>
      </c>
      <c r="E146" s="16" t="s">
        <v>232</v>
      </c>
      <c r="F146" s="16" t="s">
        <v>670</v>
      </c>
      <c r="G146" s="22">
        <v>0.01</v>
      </c>
      <c r="H146" s="16" t="s">
        <v>236</v>
      </c>
      <c r="I146" s="16" t="s">
        <v>237</v>
      </c>
      <c r="J146" s="1"/>
      <c r="K146" s="1"/>
      <c r="L146" s="1"/>
    </row>
    <row r="147" ht="15.6" spans="1:12">
      <c r="A147" s="16" t="s">
        <v>671</v>
      </c>
      <c r="B147" s="16" t="s">
        <v>672</v>
      </c>
      <c r="C147" s="16" t="s">
        <v>232</v>
      </c>
      <c r="D147" s="16" t="s">
        <v>233</v>
      </c>
      <c r="E147" s="16" t="s">
        <v>232</v>
      </c>
      <c r="F147" s="16" t="s">
        <v>673</v>
      </c>
      <c r="G147" s="22">
        <v>0.01</v>
      </c>
      <c r="H147" s="16" t="s">
        <v>236</v>
      </c>
      <c r="I147" s="16" t="s">
        <v>237</v>
      </c>
      <c r="J147" s="1"/>
      <c r="K147" s="1"/>
      <c r="L147" s="1"/>
    </row>
    <row r="148" ht="15.6" spans="1:12">
      <c r="A148" s="16" t="s">
        <v>674</v>
      </c>
      <c r="B148" s="16" t="s">
        <v>675</v>
      </c>
      <c r="C148" s="16" t="s">
        <v>232</v>
      </c>
      <c r="D148" s="16" t="s">
        <v>233</v>
      </c>
      <c r="E148" s="16" t="s">
        <v>232</v>
      </c>
      <c r="F148" s="16" t="s">
        <v>676</v>
      </c>
      <c r="G148" s="22">
        <v>0.01</v>
      </c>
      <c r="H148" s="16" t="s">
        <v>236</v>
      </c>
      <c r="I148" s="16" t="s">
        <v>237</v>
      </c>
      <c r="J148" s="1"/>
      <c r="K148" s="1"/>
      <c r="L148" s="1"/>
    </row>
    <row r="149" ht="15.6" spans="1:12">
      <c r="A149" s="16" t="s">
        <v>677</v>
      </c>
      <c r="B149" s="16" t="s">
        <v>678</v>
      </c>
      <c r="C149" s="16" t="s">
        <v>232</v>
      </c>
      <c r="D149" s="16" t="s">
        <v>233</v>
      </c>
      <c r="E149" s="16" t="s">
        <v>232</v>
      </c>
      <c r="F149" s="16" t="s">
        <v>679</v>
      </c>
      <c r="G149" s="22">
        <v>0.01</v>
      </c>
      <c r="H149" s="16" t="s">
        <v>236</v>
      </c>
      <c r="I149" s="16" t="s">
        <v>237</v>
      </c>
      <c r="J149" s="1"/>
      <c r="K149" s="1"/>
      <c r="L149" s="1"/>
    </row>
    <row r="150" ht="15.6" spans="1:12">
      <c r="A150" s="16" t="s">
        <v>680</v>
      </c>
      <c r="B150" s="16" t="s">
        <v>681</v>
      </c>
      <c r="C150" s="16" t="s">
        <v>232</v>
      </c>
      <c r="D150" s="16" t="s">
        <v>233</v>
      </c>
      <c r="E150" s="16" t="s">
        <v>232</v>
      </c>
      <c r="F150" s="16" t="s">
        <v>682</v>
      </c>
      <c r="G150" s="22">
        <v>0.01</v>
      </c>
      <c r="H150" s="16" t="s">
        <v>236</v>
      </c>
      <c r="I150" s="16" t="s">
        <v>237</v>
      </c>
      <c r="J150" s="1"/>
      <c r="K150" s="1"/>
      <c r="L150" s="1"/>
    </row>
    <row r="151" ht="15.6" spans="1:12">
      <c r="A151" s="16" t="s">
        <v>683</v>
      </c>
      <c r="B151" s="16" t="s">
        <v>684</v>
      </c>
      <c r="C151" s="16" t="s">
        <v>232</v>
      </c>
      <c r="D151" s="16" t="s">
        <v>233</v>
      </c>
      <c r="E151" s="16" t="s">
        <v>232</v>
      </c>
      <c r="F151" s="16" t="s">
        <v>685</v>
      </c>
      <c r="G151" s="22">
        <v>0.01</v>
      </c>
      <c r="H151" s="16" t="s">
        <v>236</v>
      </c>
      <c r="I151" s="16" t="s">
        <v>237</v>
      </c>
      <c r="J151" s="1"/>
      <c r="K151" s="1"/>
      <c r="L151" s="1"/>
    </row>
    <row r="152" ht="15.6" spans="1:12">
      <c r="A152" s="16" t="s">
        <v>686</v>
      </c>
      <c r="B152" s="16" t="s">
        <v>687</v>
      </c>
      <c r="C152" s="16" t="s">
        <v>232</v>
      </c>
      <c r="D152" s="16" t="s">
        <v>233</v>
      </c>
      <c r="E152" s="16" t="s">
        <v>232</v>
      </c>
      <c r="F152" s="16" t="s">
        <v>688</v>
      </c>
      <c r="G152" s="22">
        <v>0.01</v>
      </c>
      <c r="H152" s="16" t="s">
        <v>236</v>
      </c>
      <c r="I152" s="16" t="s">
        <v>237</v>
      </c>
      <c r="J152" s="1"/>
      <c r="K152" s="1"/>
      <c r="L152" s="1"/>
    </row>
    <row r="153" ht="15.6" spans="1:12">
      <c r="A153" s="16" t="s">
        <v>689</v>
      </c>
      <c r="B153" s="16" t="s">
        <v>690</v>
      </c>
      <c r="C153" s="16" t="s">
        <v>232</v>
      </c>
      <c r="D153" s="16" t="s">
        <v>233</v>
      </c>
      <c r="E153" s="16" t="s">
        <v>232</v>
      </c>
      <c r="F153" s="16" t="s">
        <v>691</v>
      </c>
      <c r="G153" s="22">
        <v>0.01</v>
      </c>
      <c r="H153" s="16" t="s">
        <v>236</v>
      </c>
      <c r="I153" s="16" t="s">
        <v>237</v>
      </c>
      <c r="J153" s="1"/>
      <c r="K153" s="1"/>
      <c r="L153" s="1"/>
    </row>
    <row r="154" ht="15.6" spans="1:12">
      <c r="A154" s="16" t="s">
        <v>692</v>
      </c>
      <c r="B154" s="16" t="s">
        <v>693</v>
      </c>
      <c r="C154" s="16" t="s">
        <v>232</v>
      </c>
      <c r="D154" s="16" t="s">
        <v>233</v>
      </c>
      <c r="E154" s="16" t="s">
        <v>232</v>
      </c>
      <c r="F154" s="16" t="s">
        <v>694</v>
      </c>
      <c r="G154" s="22">
        <v>0.01</v>
      </c>
      <c r="H154" s="16" t="s">
        <v>236</v>
      </c>
      <c r="I154" s="16" t="s">
        <v>237</v>
      </c>
      <c r="J154" s="1"/>
      <c r="K154" s="1"/>
      <c r="L154" s="1"/>
    </row>
    <row r="155" ht="15.6" spans="1:12">
      <c r="A155" s="16" t="s">
        <v>695</v>
      </c>
      <c r="B155" s="16" t="s">
        <v>696</v>
      </c>
      <c r="C155" s="16" t="s">
        <v>232</v>
      </c>
      <c r="D155" s="16" t="s">
        <v>233</v>
      </c>
      <c r="E155" s="16" t="s">
        <v>232</v>
      </c>
      <c r="F155" s="16" t="s">
        <v>697</v>
      </c>
      <c r="G155" s="22">
        <v>0.01</v>
      </c>
      <c r="H155" s="16" t="s">
        <v>236</v>
      </c>
      <c r="I155" s="16" t="s">
        <v>237</v>
      </c>
      <c r="J155" s="1"/>
      <c r="K155" s="1"/>
      <c r="L155" s="1"/>
    </row>
    <row r="156" ht="15.6" spans="1:12">
      <c r="A156" s="16" t="s">
        <v>698</v>
      </c>
      <c r="B156" s="16" t="s">
        <v>699</v>
      </c>
      <c r="C156" s="16" t="s">
        <v>232</v>
      </c>
      <c r="D156" s="16" t="s">
        <v>233</v>
      </c>
      <c r="E156" s="16" t="s">
        <v>232</v>
      </c>
      <c r="F156" s="16" t="s">
        <v>700</v>
      </c>
      <c r="G156" s="22">
        <v>0.01</v>
      </c>
      <c r="H156" s="16" t="s">
        <v>236</v>
      </c>
      <c r="I156" s="16" t="s">
        <v>237</v>
      </c>
      <c r="J156" s="1"/>
      <c r="K156" s="1"/>
      <c r="L156" s="1"/>
    </row>
    <row r="157" ht="15.6" spans="1:12">
      <c r="A157" s="16" t="s">
        <v>701</v>
      </c>
      <c r="B157" s="16" t="s">
        <v>702</v>
      </c>
      <c r="C157" s="16" t="s">
        <v>232</v>
      </c>
      <c r="D157" s="16" t="s">
        <v>233</v>
      </c>
      <c r="E157" s="16" t="s">
        <v>232</v>
      </c>
      <c r="F157" s="16" t="s">
        <v>703</v>
      </c>
      <c r="G157" s="22">
        <v>0.01</v>
      </c>
      <c r="H157" s="16" t="s">
        <v>236</v>
      </c>
      <c r="I157" s="16" t="s">
        <v>237</v>
      </c>
      <c r="J157" s="1"/>
      <c r="K157" s="1"/>
      <c r="L157" s="1"/>
    </row>
    <row r="158" ht="15.6" spans="1:12">
      <c r="A158" s="16" t="s">
        <v>704</v>
      </c>
      <c r="B158" s="16" t="s">
        <v>705</v>
      </c>
      <c r="C158" s="16" t="s">
        <v>232</v>
      </c>
      <c r="D158" s="16" t="s">
        <v>233</v>
      </c>
      <c r="E158" s="16" t="s">
        <v>232</v>
      </c>
      <c r="F158" s="16" t="s">
        <v>706</v>
      </c>
      <c r="G158" s="22">
        <v>0.01</v>
      </c>
      <c r="H158" s="16" t="s">
        <v>236</v>
      </c>
      <c r="I158" s="16" t="s">
        <v>237</v>
      </c>
      <c r="J158" s="1"/>
      <c r="K158" s="1"/>
      <c r="L158" s="1"/>
    </row>
    <row r="159" ht="15.6" spans="1:12">
      <c r="A159" s="16" t="s">
        <v>707</v>
      </c>
      <c r="B159" s="16" t="s">
        <v>708</v>
      </c>
      <c r="C159" s="16" t="s">
        <v>232</v>
      </c>
      <c r="D159" s="16" t="s">
        <v>233</v>
      </c>
      <c r="E159" s="16" t="s">
        <v>232</v>
      </c>
      <c r="F159" s="16" t="s">
        <v>709</v>
      </c>
      <c r="G159" s="22">
        <v>0.01</v>
      </c>
      <c r="H159" s="16" t="s">
        <v>236</v>
      </c>
      <c r="I159" s="16" t="s">
        <v>237</v>
      </c>
      <c r="J159" s="1"/>
      <c r="K159" s="1"/>
      <c r="L159" s="1"/>
    </row>
    <row r="160" ht="15.6" spans="1:12">
      <c r="A160" s="16" t="s">
        <v>710</v>
      </c>
      <c r="B160" s="16" t="s">
        <v>711</v>
      </c>
      <c r="C160" s="16" t="s">
        <v>232</v>
      </c>
      <c r="D160" s="16" t="s">
        <v>233</v>
      </c>
      <c r="E160" s="16" t="s">
        <v>232</v>
      </c>
      <c r="F160" s="16" t="s">
        <v>712</v>
      </c>
      <c r="G160" s="22">
        <v>0.01</v>
      </c>
      <c r="H160" s="16" t="s">
        <v>236</v>
      </c>
      <c r="I160" s="16" t="s">
        <v>237</v>
      </c>
      <c r="J160" s="1"/>
      <c r="K160" s="1"/>
      <c r="L160" s="1"/>
    </row>
    <row r="161" ht="15.6" spans="1:12">
      <c r="A161" s="16" t="s">
        <v>713</v>
      </c>
      <c r="B161" s="16" t="s">
        <v>714</v>
      </c>
      <c r="C161" s="16" t="s">
        <v>232</v>
      </c>
      <c r="D161" s="16" t="s">
        <v>233</v>
      </c>
      <c r="E161" s="16" t="s">
        <v>232</v>
      </c>
      <c r="F161" s="16" t="s">
        <v>715</v>
      </c>
      <c r="G161" s="22">
        <v>0.01</v>
      </c>
      <c r="H161" s="16" t="s">
        <v>236</v>
      </c>
      <c r="I161" s="16" t="s">
        <v>237</v>
      </c>
      <c r="J161" s="1"/>
      <c r="K161" s="1"/>
      <c r="L161" s="1"/>
    </row>
    <row r="162" ht="15.6" spans="1:12">
      <c r="A162" s="16" t="s">
        <v>716</v>
      </c>
      <c r="B162" s="16" t="s">
        <v>717</v>
      </c>
      <c r="C162" s="16" t="s">
        <v>232</v>
      </c>
      <c r="D162" s="16" t="s">
        <v>233</v>
      </c>
      <c r="E162" s="16" t="s">
        <v>232</v>
      </c>
      <c r="F162" s="16" t="s">
        <v>718</v>
      </c>
      <c r="G162" s="22">
        <v>0.01</v>
      </c>
      <c r="H162" s="16" t="s">
        <v>236</v>
      </c>
      <c r="I162" s="16" t="s">
        <v>237</v>
      </c>
      <c r="J162" s="1"/>
      <c r="K162" s="1"/>
      <c r="L162" s="1"/>
    </row>
    <row r="163" ht="15.6" spans="1:12">
      <c r="A163" s="16" t="s">
        <v>719</v>
      </c>
      <c r="B163" s="16" t="s">
        <v>720</v>
      </c>
      <c r="C163" s="16" t="s">
        <v>232</v>
      </c>
      <c r="D163" s="16" t="s">
        <v>233</v>
      </c>
      <c r="E163" s="16" t="s">
        <v>232</v>
      </c>
      <c r="F163" s="16" t="s">
        <v>721</v>
      </c>
      <c r="G163" s="22">
        <v>0.01</v>
      </c>
      <c r="H163" s="16" t="s">
        <v>236</v>
      </c>
      <c r="I163" s="16" t="s">
        <v>237</v>
      </c>
      <c r="J163" s="1"/>
      <c r="K163" s="1"/>
      <c r="L163" s="1"/>
    </row>
    <row r="164" ht="15.6" spans="1:12">
      <c r="A164" s="16" t="s">
        <v>722</v>
      </c>
      <c r="B164" s="16" t="s">
        <v>723</v>
      </c>
      <c r="C164" s="16" t="s">
        <v>232</v>
      </c>
      <c r="D164" s="16" t="s">
        <v>233</v>
      </c>
      <c r="E164" s="16" t="s">
        <v>232</v>
      </c>
      <c r="F164" s="16" t="s">
        <v>724</v>
      </c>
      <c r="G164" s="22">
        <v>0.01</v>
      </c>
      <c r="H164" s="16" t="s">
        <v>236</v>
      </c>
      <c r="I164" s="16" t="s">
        <v>237</v>
      </c>
      <c r="J164" s="1"/>
      <c r="K164" s="1"/>
      <c r="L164" s="1"/>
    </row>
    <row r="165" ht="15.6" spans="1:12">
      <c r="A165" s="16" t="s">
        <v>725</v>
      </c>
      <c r="B165" s="16" t="s">
        <v>726</v>
      </c>
      <c r="C165" s="16" t="s">
        <v>232</v>
      </c>
      <c r="D165" s="16" t="s">
        <v>233</v>
      </c>
      <c r="E165" s="16" t="s">
        <v>232</v>
      </c>
      <c r="F165" s="16" t="s">
        <v>727</v>
      </c>
      <c r="G165" s="22">
        <v>0.01</v>
      </c>
      <c r="H165" s="16" t="s">
        <v>236</v>
      </c>
      <c r="I165" s="16" t="s">
        <v>237</v>
      </c>
      <c r="J165" s="1"/>
      <c r="K165" s="1"/>
      <c r="L165" s="1"/>
    </row>
    <row r="166" ht="15.6" spans="1:12">
      <c r="A166" s="16" t="s">
        <v>728</v>
      </c>
      <c r="B166" s="16" t="s">
        <v>729</v>
      </c>
      <c r="C166" s="16" t="s">
        <v>232</v>
      </c>
      <c r="D166" s="16" t="s">
        <v>233</v>
      </c>
      <c r="E166" s="16" t="s">
        <v>232</v>
      </c>
      <c r="F166" s="16" t="s">
        <v>730</v>
      </c>
      <c r="G166" s="22">
        <v>0.01</v>
      </c>
      <c r="H166" s="16" t="s">
        <v>236</v>
      </c>
      <c r="I166" s="16" t="s">
        <v>237</v>
      </c>
      <c r="J166" s="1"/>
      <c r="K166" s="1"/>
      <c r="L166" s="1"/>
    </row>
    <row r="167" ht="15.6" spans="1:12">
      <c r="A167" s="16" t="s">
        <v>731</v>
      </c>
      <c r="B167" s="16" t="s">
        <v>732</v>
      </c>
      <c r="C167" s="16" t="s">
        <v>232</v>
      </c>
      <c r="D167" s="16" t="s">
        <v>233</v>
      </c>
      <c r="E167" s="16" t="s">
        <v>232</v>
      </c>
      <c r="F167" s="16" t="s">
        <v>733</v>
      </c>
      <c r="G167" s="22">
        <v>0.01</v>
      </c>
      <c r="H167" s="16" t="s">
        <v>236</v>
      </c>
      <c r="I167" s="16" t="s">
        <v>237</v>
      </c>
      <c r="J167" s="1"/>
      <c r="K167" s="1"/>
      <c r="L167" s="1"/>
    </row>
    <row r="168" ht="15.6" spans="1:12">
      <c r="A168" s="16" t="s">
        <v>734</v>
      </c>
      <c r="B168" s="16" t="s">
        <v>735</v>
      </c>
      <c r="C168" s="16" t="s">
        <v>232</v>
      </c>
      <c r="D168" s="16" t="s">
        <v>233</v>
      </c>
      <c r="E168" s="16" t="s">
        <v>232</v>
      </c>
      <c r="F168" s="16" t="s">
        <v>736</v>
      </c>
      <c r="G168" s="22">
        <v>0.01</v>
      </c>
      <c r="H168" s="16" t="s">
        <v>236</v>
      </c>
      <c r="I168" s="16" t="s">
        <v>237</v>
      </c>
      <c r="J168" s="1"/>
      <c r="K168" s="1"/>
      <c r="L168" s="1"/>
    </row>
    <row r="169" ht="15.6" spans="1:12">
      <c r="A169" s="16" t="s">
        <v>737</v>
      </c>
      <c r="B169" s="16" t="s">
        <v>738</v>
      </c>
      <c r="C169" s="16" t="s">
        <v>232</v>
      </c>
      <c r="D169" s="16" t="s">
        <v>233</v>
      </c>
      <c r="E169" s="16" t="s">
        <v>232</v>
      </c>
      <c r="F169" s="16" t="s">
        <v>739</v>
      </c>
      <c r="G169" s="22">
        <v>0.01</v>
      </c>
      <c r="H169" s="16" t="s">
        <v>236</v>
      </c>
      <c r="I169" s="16" t="s">
        <v>237</v>
      </c>
      <c r="J169" s="1"/>
      <c r="K169" s="1"/>
      <c r="L169" s="1"/>
    </row>
    <row r="170" ht="15.6" spans="1:12">
      <c r="A170" s="16" t="s">
        <v>740</v>
      </c>
      <c r="B170" s="16" t="s">
        <v>741</v>
      </c>
      <c r="C170" s="16" t="s">
        <v>232</v>
      </c>
      <c r="D170" s="16" t="s">
        <v>233</v>
      </c>
      <c r="E170" s="16" t="s">
        <v>232</v>
      </c>
      <c r="F170" s="16" t="s">
        <v>742</v>
      </c>
      <c r="G170" s="22">
        <v>0.01</v>
      </c>
      <c r="H170" s="16" t="s">
        <v>236</v>
      </c>
      <c r="I170" s="16" t="s">
        <v>237</v>
      </c>
      <c r="J170" s="1"/>
      <c r="K170" s="1"/>
      <c r="L170" s="1"/>
    </row>
    <row r="171" ht="15.6" spans="1:12">
      <c r="A171" s="16" t="s">
        <v>743</v>
      </c>
      <c r="B171" s="16" t="s">
        <v>744</v>
      </c>
      <c r="C171" s="16" t="s">
        <v>232</v>
      </c>
      <c r="D171" s="16" t="s">
        <v>233</v>
      </c>
      <c r="E171" s="16" t="s">
        <v>232</v>
      </c>
      <c r="F171" s="16" t="s">
        <v>745</v>
      </c>
      <c r="G171" s="22">
        <v>0.01</v>
      </c>
      <c r="H171" s="16" t="s">
        <v>236</v>
      </c>
      <c r="I171" s="16" t="s">
        <v>237</v>
      </c>
      <c r="J171" s="1"/>
      <c r="K171" s="1"/>
      <c r="L171" s="1"/>
    </row>
    <row r="172" ht="15.6" spans="1:12">
      <c r="A172" s="1" t="s">
        <v>746</v>
      </c>
      <c r="B172" s="1" t="s">
        <v>747</v>
      </c>
      <c r="C172" s="1" t="s">
        <v>746</v>
      </c>
      <c r="D172" s="16" t="s">
        <v>748</v>
      </c>
      <c r="E172" s="1" t="s">
        <v>749</v>
      </c>
      <c r="F172" s="1" t="s">
        <v>750</v>
      </c>
      <c r="G172" s="22">
        <v>0.5</v>
      </c>
      <c r="H172" s="16" t="s">
        <v>751</v>
      </c>
      <c r="I172" s="24" t="s">
        <v>752</v>
      </c>
      <c r="J172" s="1"/>
      <c r="K172" s="1"/>
      <c r="L172" s="1"/>
    </row>
    <row r="173" ht="15.6" spans="1:12">
      <c r="A173" s="23" t="s">
        <v>753</v>
      </c>
      <c r="B173" s="1" t="s">
        <v>754</v>
      </c>
      <c r="C173" s="1" t="s">
        <v>753</v>
      </c>
      <c r="D173" s="16" t="s">
        <v>748</v>
      </c>
      <c r="E173" s="1" t="s">
        <v>749</v>
      </c>
      <c r="F173" s="1">
        <v>100</v>
      </c>
      <c r="G173" s="22">
        <v>0.5</v>
      </c>
      <c r="H173" s="16" t="s">
        <v>751</v>
      </c>
      <c r="I173" s="24" t="s">
        <v>752</v>
      </c>
      <c r="J173" s="1"/>
      <c r="K173" s="1"/>
      <c r="L173" s="1"/>
    </row>
    <row r="174" ht="15.6" spans="1:12">
      <c r="A174" s="23" t="s">
        <v>755</v>
      </c>
      <c r="B174" s="1" t="s">
        <v>756</v>
      </c>
      <c r="C174" s="1" t="s">
        <v>755</v>
      </c>
      <c r="D174" s="16" t="s">
        <v>748</v>
      </c>
      <c r="E174" s="1" t="s">
        <v>749</v>
      </c>
      <c r="F174" s="1" t="s">
        <v>757</v>
      </c>
      <c r="G174" s="22">
        <v>0.5</v>
      </c>
      <c r="H174" s="16" t="s">
        <v>751</v>
      </c>
      <c r="I174" s="24" t="s">
        <v>752</v>
      </c>
      <c r="J174" s="1"/>
      <c r="K174" s="1"/>
      <c r="L174" s="1"/>
    </row>
    <row r="175" ht="15.6" spans="1:12">
      <c r="A175" s="16" t="s">
        <v>758</v>
      </c>
      <c r="B175" s="16" t="s">
        <v>759</v>
      </c>
      <c r="C175" s="16" t="s">
        <v>232</v>
      </c>
      <c r="D175" s="16" t="s">
        <v>233</v>
      </c>
      <c r="E175" s="16" t="s">
        <v>232</v>
      </c>
      <c r="F175" s="16" t="s">
        <v>760</v>
      </c>
      <c r="G175" s="22">
        <v>0.01</v>
      </c>
      <c r="H175" s="16" t="s">
        <v>432</v>
      </c>
      <c r="I175" s="16" t="s">
        <v>433</v>
      </c>
      <c r="J175" s="1"/>
      <c r="K175" s="1"/>
      <c r="L175" s="1"/>
    </row>
    <row r="176" ht="15.6" spans="1:1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ht="15.6" spans="1:1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5"/>
  <sheetViews>
    <sheetView workbookViewId="0">
      <selection activeCell="A3" sqref="A3:F3"/>
    </sheetView>
  </sheetViews>
  <sheetFormatPr defaultColWidth="9" defaultRowHeight="14.4" outlineLevelRow="4"/>
  <cols>
    <col min="1" max="1" width="14.4444444444444" customWidth="1"/>
    <col min="2" max="2" width="40.7777777777778" customWidth="1"/>
    <col min="3" max="3" width="12.7777777777778" customWidth="1"/>
    <col min="4" max="4" width="28.6666666666667" customWidth="1"/>
    <col min="5" max="5" width="14.7777777777778" customWidth="1"/>
    <col min="6" max="6" width="20.8888888888889" customWidth="1"/>
    <col min="7" max="7" width="14.2222222222222" customWidth="1"/>
    <col min="8" max="8" width="35" customWidth="1"/>
    <col min="9" max="9" width="13.1111111111111" customWidth="1"/>
    <col min="10" max="10" width="13.2222222222222" customWidth="1"/>
    <col min="11" max="11" width="12.2222222222222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761</v>
      </c>
      <c r="I1" t="s">
        <v>116</v>
      </c>
      <c r="J1" t="s">
        <v>140</v>
      </c>
      <c r="K1" t="s">
        <v>11</v>
      </c>
    </row>
    <row r="2" spans="1:12">
      <c r="A2" s="18" t="s">
        <v>762</v>
      </c>
      <c r="B2" s="8" t="str">
        <f>CONCATENATE("Выпрямительный диод на ",H2," В, ном. ток ",I2," А")</f>
        <v>Выпрямительный диод на 1000 В, ном. ток 2 А</v>
      </c>
      <c r="C2" s="6" t="str">
        <f>A2</f>
        <v>S2M</v>
      </c>
      <c r="D2" s="6" t="s">
        <v>763</v>
      </c>
      <c r="E2" s="6" t="s">
        <v>764</v>
      </c>
      <c r="F2" s="6" t="str">
        <f>CONCATENATE("Footprints\",G2,".PcbLib")</f>
        <v>Footprints\SMB.PcbLib</v>
      </c>
      <c r="G2" s="6" t="s">
        <v>179</v>
      </c>
      <c r="H2" s="19">
        <v>1000</v>
      </c>
      <c r="I2" s="20">
        <v>2</v>
      </c>
      <c r="J2" s="2"/>
      <c r="K2" s="2"/>
      <c r="L2" s="15"/>
    </row>
    <row r="3" spans="11:12">
      <c r="K3" s="2"/>
      <c r="L3" s="15"/>
    </row>
    <row r="4" spans="2:12">
      <c r="B4" s="2"/>
      <c r="D4" s="2"/>
      <c r="F4" s="2"/>
      <c r="H4" s="2"/>
      <c r="I4" s="2"/>
      <c r="J4" s="2"/>
      <c r="K4" s="2"/>
      <c r="L4" s="15"/>
    </row>
    <row r="5" spans="4:12">
      <c r="D5" s="2"/>
      <c r="E5" s="2"/>
      <c r="F5" s="2"/>
      <c r="H5" s="2"/>
      <c r="I5" s="2"/>
      <c r="J5" s="2"/>
      <c r="K5" s="2"/>
      <c r="L5" s="15"/>
    </row>
  </sheetData>
  <pageMargins left="0.7" right="0.7" top="0.75" bottom="0.75" header="0.3" footer="0.3"/>
  <headerFooter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6"/>
  <dimension ref="A1:U4"/>
  <sheetViews>
    <sheetView zoomScale="55" zoomScaleNormal="55" topLeftCell="L1" workbookViewId="0">
      <selection activeCell="P11" sqref="P11"/>
    </sheetView>
  </sheetViews>
  <sheetFormatPr defaultColWidth="9" defaultRowHeight="14.4" outlineLevelRow="3"/>
  <cols>
    <col min="1" max="1" width="15.4444444444444" customWidth="1"/>
    <col min="2" max="2" width="23.2222222222222" customWidth="1"/>
    <col min="3" max="3" width="15.4444444444444" customWidth="1"/>
    <col min="4" max="4" width="32" customWidth="1"/>
    <col min="5" max="5" width="15.4444444444444" customWidth="1"/>
    <col min="6" max="6" width="8.77777777777778" customWidth="1"/>
    <col min="7" max="7" width="33.5555555555556" customWidth="1"/>
    <col min="8" max="8" width="17.2222222222222" customWidth="1"/>
    <col min="9" max="9" width="33.5555555555556" customWidth="1"/>
    <col min="10" max="10" width="17.2222222222222" customWidth="1"/>
    <col min="11" max="11" width="33.5555555555556" customWidth="1"/>
    <col min="12" max="12" width="17.2222222222222" customWidth="1"/>
    <col min="13" max="13" width="32.7777777777778" customWidth="1"/>
    <col min="14" max="14" width="17.2222222222222" customWidth="1"/>
    <col min="15" max="15" width="32.4444444444444" customWidth="1"/>
    <col min="16" max="16" width="17.2222222222222" customWidth="1"/>
    <col min="17" max="17" width="42.2222222222222" customWidth="1"/>
    <col min="18" max="18" width="17.2222222222222" customWidth="1"/>
    <col min="19" max="19" width="42.4444444444444" customWidth="1"/>
    <col min="20" max="20" width="17.2222222222222" customWidth="1"/>
    <col min="21" max="21" width="14.2222222222222" customWidth="1"/>
  </cols>
  <sheetData>
    <row r="1" ht="15.6" spans="1:2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141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765</v>
      </c>
      <c r="N1" s="1" t="s">
        <v>766</v>
      </c>
      <c r="O1" s="1" t="s">
        <v>767</v>
      </c>
      <c r="P1" s="1" t="s">
        <v>768</v>
      </c>
      <c r="Q1" s="1" t="s">
        <v>769</v>
      </c>
      <c r="R1" s="1" t="s">
        <v>770</v>
      </c>
      <c r="S1" s="1" t="s">
        <v>771</v>
      </c>
      <c r="T1" s="1" t="s">
        <v>772</v>
      </c>
      <c r="U1" s="1" t="s">
        <v>11</v>
      </c>
    </row>
    <row r="2" ht="15.6" spans="1:20">
      <c r="A2" s="16" t="s">
        <v>773</v>
      </c>
      <c r="B2" s="16" t="s">
        <v>774</v>
      </c>
      <c r="C2" s="16" t="s">
        <v>773</v>
      </c>
      <c r="D2" s="16" t="s">
        <v>775</v>
      </c>
      <c r="E2" s="16" t="s">
        <v>773</v>
      </c>
      <c r="F2" s="16" t="s">
        <v>776</v>
      </c>
      <c r="G2" s="16" t="s">
        <v>777</v>
      </c>
      <c r="H2" s="16" t="s">
        <v>778</v>
      </c>
      <c r="I2" s="16" t="s">
        <v>779</v>
      </c>
      <c r="J2" s="16" t="s">
        <v>780</v>
      </c>
      <c r="K2" s="17" t="s">
        <v>781</v>
      </c>
      <c r="L2" s="17" t="s">
        <v>782</v>
      </c>
      <c r="M2" s="2"/>
      <c r="N2" s="2"/>
      <c r="O2" s="2"/>
      <c r="P2" s="2"/>
      <c r="Q2" s="2"/>
      <c r="R2" s="2"/>
      <c r="S2" s="2"/>
      <c r="T2" s="2"/>
    </row>
    <row r="3" ht="15.6" spans="1:20">
      <c r="A3" s="16" t="s">
        <v>783</v>
      </c>
      <c r="B3" s="16" t="s">
        <v>784</v>
      </c>
      <c r="C3" s="16" t="s">
        <v>783</v>
      </c>
      <c r="D3" s="16" t="s">
        <v>785</v>
      </c>
      <c r="E3" s="16" t="s">
        <v>783</v>
      </c>
      <c r="F3" s="16" t="s">
        <v>786</v>
      </c>
      <c r="G3" s="16" t="s">
        <v>787</v>
      </c>
      <c r="H3" s="16" t="s">
        <v>788</v>
      </c>
      <c r="I3" s="16" t="s">
        <v>789</v>
      </c>
      <c r="J3" s="16" t="s">
        <v>790</v>
      </c>
      <c r="K3" s="16" t="s">
        <v>791</v>
      </c>
      <c r="L3" s="16" t="s">
        <v>792</v>
      </c>
      <c r="M3" s="16" t="s">
        <v>793</v>
      </c>
      <c r="N3" s="16" t="s">
        <v>794</v>
      </c>
      <c r="O3" s="16" t="s">
        <v>795</v>
      </c>
      <c r="P3" s="16" t="s">
        <v>796</v>
      </c>
      <c r="Q3" s="16" t="s">
        <v>797</v>
      </c>
      <c r="R3" s="2" t="s">
        <v>798</v>
      </c>
      <c r="S3" s="16" t="s">
        <v>799</v>
      </c>
      <c r="T3" s="2" t="s">
        <v>800</v>
      </c>
    </row>
    <row r="4" ht="15.6" spans="1:10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42"/>
  <sheetViews>
    <sheetView topLeftCell="A13" workbookViewId="0">
      <selection activeCell="Q13" sqref="Q13"/>
    </sheetView>
  </sheetViews>
  <sheetFormatPr defaultColWidth="9" defaultRowHeight="14.4"/>
  <cols>
    <col min="1" max="1" width="32" customWidth="1"/>
    <col min="2" max="2" width="13.5555555555556" customWidth="1"/>
    <col min="3" max="3" width="26.5555555555556" customWidth="1"/>
    <col min="4" max="4" width="13.1111111111111" customWidth="1"/>
    <col min="5" max="5" width="25.1111111111111" customWidth="1"/>
    <col min="6" max="6" width="14.3333333333333" customWidth="1"/>
    <col min="7" max="7" width="9.88888888888889" customWidth="1"/>
    <col min="8" max="8" width="12.6666666666667" customWidth="1"/>
    <col min="9" max="9" width="14.3333333333333" customWidth="1"/>
    <col min="10" max="10" width="12" customWidth="1"/>
    <col min="11" max="11" width="17.7777777777778" customWidth="1"/>
    <col min="12" max="12" width="15.5555555555556" customWidth="1"/>
    <col min="13" max="13" width="14.7777777777778" customWidth="1"/>
    <col min="14" max="14" width="12.2222222222222" customWidth="1"/>
  </cols>
  <sheetData>
    <row r="1" ht="15.6" spans="1:14">
      <c r="A1" s="11" t="s">
        <v>0</v>
      </c>
      <c r="B1" s="12" t="s">
        <v>1</v>
      </c>
      <c r="C1" s="12" t="s">
        <v>3</v>
      </c>
      <c r="D1" s="12" t="s">
        <v>2</v>
      </c>
      <c r="E1" s="12" t="s">
        <v>801</v>
      </c>
      <c r="F1" s="12" t="s">
        <v>4</v>
      </c>
      <c r="G1" s="12" t="s">
        <v>141</v>
      </c>
      <c r="H1" s="14" t="s">
        <v>229</v>
      </c>
      <c r="I1" s="14" t="s">
        <v>802</v>
      </c>
      <c r="J1" s="14" t="s">
        <v>803</v>
      </c>
      <c r="K1" s="12" t="s">
        <v>5</v>
      </c>
      <c r="L1" s="12" t="s">
        <v>6</v>
      </c>
      <c r="M1" s="14" t="s">
        <v>804</v>
      </c>
      <c r="N1" s="14" t="s">
        <v>11</v>
      </c>
    </row>
    <row r="2" spans="1:14">
      <c r="A2" s="2" t="s">
        <v>805</v>
      </c>
      <c r="B2" s="2" t="s">
        <v>774</v>
      </c>
      <c r="C2" s="2" t="s">
        <v>775</v>
      </c>
      <c r="D2" s="2" t="s">
        <v>773</v>
      </c>
      <c r="E2" s="2" t="s">
        <v>775</v>
      </c>
      <c r="F2" s="2" t="s">
        <v>773</v>
      </c>
      <c r="G2" s="2" t="s">
        <v>806</v>
      </c>
      <c r="H2">
        <v>0.1</v>
      </c>
      <c r="I2">
        <v>50</v>
      </c>
      <c r="J2" s="2" t="s">
        <v>807</v>
      </c>
      <c r="K2" s="2" t="s">
        <v>777</v>
      </c>
      <c r="L2" s="2" t="s">
        <v>778</v>
      </c>
      <c r="M2" s="2">
        <v>1</v>
      </c>
      <c r="N2" s="2"/>
    </row>
    <row r="3" spans="1:14">
      <c r="A3" s="2" t="s">
        <v>808</v>
      </c>
      <c r="B3" s="2" t="s">
        <v>774</v>
      </c>
      <c r="C3" s="2" t="s">
        <v>775</v>
      </c>
      <c r="D3" s="2" t="s">
        <v>773</v>
      </c>
      <c r="E3" s="2" t="s">
        <v>775</v>
      </c>
      <c r="F3" s="2" t="s">
        <v>773</v>
      </c>
      <c r="G3" s="2" t="s">
        <v>809</v>
      </c>
      <c r="H3">
        <v>0.1</v>
      </c>
      <c r="I3">
        <v>50</v>
      </c>
      <c r="J3" s="2" t="s">
        <v>807</v>
      </c>
      <c r="K3" s="2" t="s">
        <v>777</v>
      </c>
      <c r="L3" s="2" t="s">
        <v>778</v>
      </c>
      <c r="M3" s="2">
        <v>1.2</v>
      </c>
      <c r="N3" s="2"/>
    </row>
    <row r="4" spans="1:14">
      <c r="A4" s="2" t="s">
        <v>810</v>
      </c>
      <c r="B4" s="2" t="s">
        <v>774</v>
      </c>
      <c r="C4" s="2" t="s">
        <v>775</v>
      </c>
      <c r="D4" s="2" t="s">
        <v>773</v>
      </c>
      <c r="E4" s="2" t="s">
        <v>775</v>
      </c>
      <c r="F4" s="2" t="s">
        <v>773</v>
      </c>
      <c r="G4" s="2" t="s">
        <v>811</v>
      </c>
      <c r="H4">
        <v>0.1</v>
      </c>
      <c r="I4">
        <v>50</v>
      </c>
      <c r="J4" s="2" t="s">
        <v>807</v>
      </c>
      <c r="K4" s="2" t="s">
        <v>777</v>
      </c>
      <c r="L4" s="2" t="s">
        <v>778</v>
      </c>
      <c r="M4" s="2">
        <v>1.5</v>
      </c>
      <c r="N4" s="2"/>
    </row>
    <row r="5" spans="1:14">
      <c r="A5" s="2" t="s">
        <v>812</v>
      </c>
      <c r="B5" s="2" t="s">
        <v>774</v>
      </c>
      <c r="C5" s="2" t="s">
        <v>775</v>
      </c>
      <c r="D5" s="2" t="s">
        <v>773</v>
      </c>
      <c r="E5" s="2" t="s">
        <v>775</v>
      </c>
      <c r="F5" s="2" t="s">
        <v>773</v>
      </c>
      <c r="G5" s="2" t="s">
        <v>813</v>
      </c>
      <c r="H5">
        <v>0.1</v>
      </c>
      <c r="I5">
        <v>50</v>
      </c>
      <c r="J5" s="2" t="s">
        <v>807</v>
      </c>
      <c r="K5" s="2" t="s">
        <v>777</v>
      </c>
      <c r="L5" s="2" t="s">
        <v>778</v>
      </c>
      <c r="M5" s="2">
        <v>1.8</v>
      </c>
      <c r="N5" s="2"/>
    </row>
    <row r="6" spans="1:14">
      <c r="A6" s="2" t="s">
        <v>814</v>
      </c>
      <c r="B6" s="2" t="s">
        <v>774</v>
      </c>
      <c r="C6" s="2" t="s">
        <v>775</v>
      </c>
      <c r="D6" s="2" t="s">
        <v>773</v>
      </c>
      <c r="E6" s="2" t="s">
        <v>775</v>
      </c>
      <c r="F6" s="2" t="s">
        <v>773</v>
      </c>
      <c r="G6" s="2" t="s">
        <v>815</v>
      </c>
      <c r="H6">
        <v>0.1</v>
      </c>
      <c r="I6">
        <v>50</v>
      </c>
      <c r="J6" s="2" t="s">
        <v>807</v>
      </c>
      <c r="K6" s="2" t="s">
        <v>777</v>
      </c>
      <c r="L6" s="2" t="s">
        <v>778</v>
      </c>
      <c r="M6" s="2">
        <v>2.2</v>
      </c>
      <c r="N6" s="2"/>
    </row>
    <row r="7" spans="1:14">
      <c r="A7" s="2" t="s">
        <v>816</v>
      </c>
      <c r="B7" s="2" t="s">
        <v>774</v>
      </c>
      <c r="C7" s="2" t="s">
        <v>775</v>
      </c>
      <c r="D7" s="2" t="s">
        <v>773</v>
      </c>
      <c r="E7" s="2" t="s">
        <v>775</v>
      </c>
      <c r="F7" s="2" t="s">
        <v>773</v>
      </c>
      <c r="G7" s="2" t="s">
        <v>817</v>
      </c>
      <c r="H7">
        <v>0.1</v>
      </c>
      <c r="I7">
        <v>50</v>
      </c>
      <c r="J7" s="2" t="s">
        <v>807</v>
      </c>
      <c r="K7" s="2" t="s">
        <v>777</v>
      </c>
      <c r="L7" s="2" t="s">
        <v>778</v>
      </c>
      <c r="M7" s="2">
        <v>2.7</v>
      </c>
      <c r="N7" s="2"/>
    </row>
    <row r="8" spans="1:14">
      <c r="A8" s="2" t="s">
        <v>818</v>
      </c>
      <c r="B8" s="2" t="s">
        <v>774</v>
      </c>
      <c r="C8" s="2" t="s">
        <v>775</v>
      </c>
      <c r="D8" s="2" t="s">
        <v>773</v>
      </c>
      <c r="E8" s="2" t="s">
        <v>775</v>
      </c>
      <c r="F8" s="2" t="s">
        <v>773</v>
      </c>
      <c r="G8" s="2" t="s">
        <v>819</v>
      </c>
      <c r="H8">
        <v>0.1</v>
      </c>
      <c r="I8">
        <v>50</v>
      </c>
      <c r="J8" s="2" t="s">
        <v>807</v>
      </c>
      <c r="K8" s="2" t="s">
        <v>777</v>
      </c>
      <c r="L8" s="2" t="s">
        <v>778</v>
      </c>
      <c r="M8" s="2">
        <v>3.3</v>
      </c>
      <c r="N8" s="2"/>
    </row>
    <row r="9" spans="1:14">
      <c r="A9" s="2" t="s">
        <v>820</v>
      </c>
      <c r="B9" s="2" t="s">
        <v>774</v>
      </c>
      <c r="C9" s="2" t="s">
        <v>775</v>
      </c>
      <c r="D9" s="2" t="s">
        <v>773</v>
      </c>
      <c r="E9" s="2" t="s">
        <v>775</v>
      </c>
      <c r="F9" s="2" t="s">
        <v>773</v>
      </c>
      <c r="G9" s="2" t="s">
        <v>821</v>
      </c>
      <c r="H9">
        <v>0.1</v>
      </c>
      <c r="I9">
        <v>50</v>
      </c>
      <c r="J9" s="2" t="s">
        <v>807</v>
      </c>
      <c r="K9" s="2" t="s">
        <v>777</v>
      </c>
      <c r="L9" s="2" t="s">
        <v>778</v>
      </c>
      <c r="M9" s="2">
        <v>3.9</v>
      </c>
      <c r="N9" s="2"/>
    </row>
    <row r="10" spans="1:14">
      <c r="A10" s="2" t="s">
        <v>822</v>
      </c>
      <c r="B10" s="2" t="s">
        <v>774</v>
      </c>
      <c r="C10" s="2" t="s">
        <v>775</v>
      </c>
      <c r="D10" s="2" t="s">
        <v>773</v>
      </c>
      <c r="E10" s="2" t="s">
        <v>775</v>
      </c>
      <c r="F10" s="2" t="s">
        <v>773</v>
      </c>
      <c r="G10" s="2" t="s">
        <v>823</v>
      </c>
      <c r="H10">
        <v>0.1</v>
      </c>
      <c r="I10">
        <v>50</v>
      </c>
      <c r="J10" s="2" t="s">
        <v>807</v>
      </c>
      <c r="K10" s="2" t="s">
        <v>777</v>
      </c>
      <c r="L10" s="2" t="s">
        <v>778</v>
      </c>
      <c r="M10" s="2">
        <v>4.7</v>
      </c>
      <c r="N10" s="2"/>
    </row>
    <row r="11" spans="1:14">
      <c r="A11" s="2" t="s">
        <v>824</v>
      </c>
      <c r="B11" s="2" t="s">
        <v>774</v>
      </c>
      <c r="C11" s="2" t="s">
        <v>775</v>
      </c>
      <c r="D11" s="2" t="s">
        <v>773</v>
      </c>
      <c r="E11" s="2" t="s">
        <v>775</v>
      </c>
      <c r="F11" s="2" t="s">
        <v>773</v>
      </c>
      <c r="G11" s="2" t="s">
        <v>825</v>
      </c>
      <c r="H11">
        <v>0.1</v>
      </c>
      <c r="I11">
        <v>50</v>
      </c>
      <c r="J11" s="2" t="s">
        <v>807</v>
      </c>
      <c r="K11" s="2" t="s">
        <v>777</v>
      </c>
      <c r="L11" s="2" t="s">
        <v>778</v>
      </c>
      <c r="M11" s="2">
        <v>5.6</v>
      </c>
      <c r="N11" s="2"/>
    </row>
    <row r="12" spans="1:14">
      <c r="A12" s="2" t="s">
        <v>826</v>
      </c>
      <c r="B12" s="2" t="s">
        <v>774</v>
      </c>
      <c r="C12" s="2" t="s">
        <v>775</v>
      </c>
      <c r="D12" s="2" t="s">
        <v>773</v>
      </c>
      <c r="E12" s="2" t="s">
        <v>775</v>
      </c>
      <c r="F12" s="2" t="s">
        <v>773</v>
      </c>
      <c r="G12" s="2" t="s">
        <v>827</v>
      </c>
      <c r="H12">
        <v>0.1</v>
      </c>
      <c r="I12">
        <v>50</v>
      </c>
      <c r="J12" s="2" t="s">
        <v>807</v>
      </c>
      <c r="K12" s="2" t="s">
        <v>777</v>
      </c>
      <c r="L12" s="2" t="s">
        <v>778</v>
      </c>
      <c r="M12" s="2">
        <v>6.8</v>
      </c>
      <c r="N12" s="2"/>
    </row>
    <row r="13" spans="1:14">
      <c r="A13" s="2" t="s">
        <v>828</v>
      </c>
      <c r="B13" s="2" t="s">
        <v>774</v>
      </c>
      <c r="C13" s="2" t="s">
        <v>775</v>
      </c>
      <c r="D13" s="2" t="s">
        <v>773</v>
      </c>
      <c r="E13" s="2" t="s">
        <v>775</v>
      </c>
      <c r="F13" s="2" t="s">
        <v>773</v>
      </c>
      <c r="G13" s="2" t="s">
        <v>829</v>
      </c>
      <c r="H13">
        <v>0.1</v>
      </c>
      <c r="I13">
        <v>50</v>
      </c>
      <c r="J13" s="2" t="s">
        <v>807</v>
      </c>
      <c r="K13" s="2" t="s">
        <v>777</v>
      </c>
      <c r="L13" s="2" t="s">
        <v>778</v>
      </c>
      <c r="M13" s="2">
        <v>8.2</v>
      </c>
      <c r="N13" s="2"/>
    </row>
    <row r="14" spans="1:14">
      <c r="A14" s="2" t="s">
        <v>830</v>
      </c>
      <c r="B14" s="2" t="s">
        <v>774</v>
      </c>
      <c r="C14" s="2" t="s">
        <v>775</v>
      </c>
      <c r="D14" s="2" t="s">
        <v>773</v>
      </c>
      <c r="E14" s="2" t="s">
        <v>775</v>
      </c>
      <c r="F14" s="2" t="s">
        <v>773</v>
      </c>
      <c r="G14" s="2" t="s">
        <v>831</v>
      </c>
      <c r="H14">
        <v>0.1</v>
      </c>
      <c r="I14">
        <v>50</v>
      </c>
      <c r="J14" s="2" t="s">
        <v>807</v>
      </c>
      <c r="K14" s="2" t="s">
        <v>777</v>
      </c>
      <c r="L14" s="2" t="s">
        <v>778</v>
      </c>
      <c r="M14" s="2">
        <v>10</v>
      </c>
      <c r="N14" s="2"/>
    </row>
    <row r="15" spans="1:14">
      <c r="A15" s="2" t="s">
        <v>832</v>
      </c>
      <c r="B15" s="2" t="s">
        <v>774</v>
      </c>
      <c r="C15" s="2" t="s">
        <v>775</v>
      </c>
      <c r="D15" s="2" t="s">
        <v>773</v>
      </c>
      <c r="E15" s="2" t="s">
        <v>775</v>
      </c>
      <c r="F15" s="2" t="s">
        <v>773</v>
      </c>
      <c r="G15" s="2" t="s">
        <v>833</v>
      </c>
      <c r="H15">
        <v>0.1</v>
      </c>
      <c r="I15">
        <v>50</v>
      </c>
      <c r="J15" s="2" t="s">
        <v>807</v>
      </c>
      <c r="K15" s="2" t="s">
        <v>777</v>
      </c>
      <c r="L15" s="2" t="s">
        <v>778</v>
      </c>
      <c r="M15" s="2">
        <v>12</v>
      </c>
      <c r="N15" s="2"/>
    </row>
    <row r="16" spans="1:14">
      <c r="A16" s="2" t="s">
        <v>834</v>
      </c>
      <c r="B16" s="2" t="s">
        <v>774</v>
      </c>
      <c r="C16" s="2" t="s">
        <v>775</v>
      </c>
      <c r="D16" s="2" t="s">
        <v>773</v>
      </c>
      <c r="E16" s="2" t="s">
        <v>775</v>
      </c>
      <c r="F16" s="2" t="s">
        <v>773</v>
      </c>
      <c r="G16" s="2" t="s">
        <v>835</v>
      </c>
      <c r="H16">
        <v>0.1</v>
      </c>
      <c r="I16">
        <v>50</v>
      </c>
      <c r="J16" s="2" t="s">
        <v>807</v>
      </c>
      <c r="K16" s="2" t="s">
        <v>777</v>
      </c>
      <c r="L16" s="2" t="s">
        <v>778</v>
      </c>
      <c r="M16" s="2">
        <v>15</v>
      </c>
      <c r="N16" s="2"/>
    </row>
    <row r="17" spans="1:14">
      <c r="A17" s="2" t="s">
        <v>836</v>
      </c>
      <c r="B17" s="2" t="s">
        <v>774</v>
      </c>
      <c r="C17" s="2" t="s">
        <v>775</v>
      </c>
      <c r="D17" s="2" t="s">
        <v>773</v>
      </c>
      <c r="E17" s="2" t="s">
        <v>775</v>
      </c>
      <c r="F17" s="2" t="s">
        <v>773</v>
      </c>
      <c r="G17" s="2" t="s">
        <v>837</v>
      </c>
      <c r="H17">
        <v>0.1</v>
      </c>
      <c r="I17">
        <v>50</v>
      </c>
      <c r="J17" s="2" t="s">
        <v>807</v>
      </c>
      <c r="K17" s="2" t="s">
        <v>777</v>
      </c>
      <c r="L17" s="2" t="s">
        <v>778</v>
      </c>
      <c r="M17" s="2">
        <v>18</v>
      </c>
      <c r="N17" s="2"/>
    </row>
    <row r="18" spans="1:14">
      <c r="A18" s="2" t="s">
        <v>838</v>
      </c>
      <c r="B18" s="2" t="s">
        <v>774</v>
      </c>
      <c r="C18" s="2" t="s">
        <v>775</v>
      </c>
      <c r="D18" s="2" t="s">
        <v>773</v>
      </c>
      <c r="E18" s="2" t="s">
        <v>775</v>
      </c>
      <c r="F18" s="2" t="s">
        <v>773</v>
      </c>
      <c r="G18" s="2" t="s">
        <v>839</v>
      </c>
      <c r="H18">
        <v>0.1</v>
      </c>
      <c r="I18">
        <v>50</v>
      </c>
      <c r="J18" s="2" t="s">
        <v>807</v>
      </c>
      <c r="K18" s="2" t="s">
        <v>777</v>
      </c>
      <c r="L18" s="2" t="s">
        <v>778</v>
      </c>
      <c r="M18" s="2">
        <v>22</v>
      </c>
      <c r="N18" s="2"/>
    </row>
    <row r="19" spans="1:14">
      <c r="A19" s="2" t="s">
        <v>840</v>
      </c>
      <c r="B19" s="2" t="s">
        <v>774</v>
      </c>
      <c r="C19" s="2" t="s">
        <v>775</v>
      </c>
      <c r="D19" s="2" t="s">
        <v>773</v>
      </c>
      <c r="E19" s="2" t="s">
        <v>775</v>
      </c>
      <c r="F19" s="2" t="s">
        <v>773</v>
      </c>
      <c r="G19" s="2" t="s">
        <v>841</v>
      </c>
      <c r="H19">
        <v>0.1</v>
      </c>
      <c r="I19">
        <v>50</v>
      </c>
      <c r="J19" s="2" t="s">
        <v>807</v>
      </c>
      <c r="K19" s="2" t="s">
        <v>777</v>
      </c>
      <c r="L19" s="2" t="s">
        <v>778</v>
      </c>
      <c r="M19" s="2">
        <v>27</v>
      </c>
      <c r="N19" s="2"/>
    </row>
    <row r="20" spans="1:14">
      <c r="A20" s="2" t="s">
        <v>842</v>
      </c>
      <c r="B20" s="2" t="s">
        <v>774</v>
      </c>
      <c r="C20" s="2" t="s">
        <v>775</v>
      </c>
      <c r="D20" s="2" t="s">
        <v>773</v>
      </c>
      <c r="E20" s="2" t="s">
        <v>775</v>
      </c>
      <c r="F20" s="2" t="s">
        <v>773</v>
      </c>
      <c r="G20" s="2" t="s">
        <v>843</v>
      </c>
      <c r="H20">
        <v>0.1</v>
      </c>
      <c r="I20">
        <v>50</v>
      </c>
      <c r="J20" s="2" t="s">
        <v>807</v>
      </c>
      <c r="K20" s="2" t="s">
        <v>777</v>
      </c>
      <c r="L20" s="2" t="s">
        <v>778</v>
      </c>
      <c r="M20" s="2">
        <v>33</v>
      </c>
      <c r="N20" s="2"/>
    </row>
    <row r="21" spans="1:14">
      <c r="A21" s="2" t="s">
        <v>844</v>
      </c>
      <c r="B21" s="2" t="s">
        <v>774</v>
      </c>
      <c r="C21" s="2" t="s">
        <v>775</v>
      </c>
      <c r="D21" s="2" t="s">
        <v>773</v>
      </c>
      <c r="E21" s="2" t="s">
        <v>775</v>
      </c>
      <c r="F21" s="2" t="s">
        <v>773</v>
      </c>
      <c r="G21" s="2" t="s">
        <v>845</v>
      </c>
      <c r="H21">
        <v>0.1</v>
      </c>
      <c r="I21">
        <v>50</v>
      </c>
      <c r="J21" s="2" t="s">
        <v>807</v>
      </c>
      <c r="K21" s="2" t="s">
        <v>777</v>
      </c>
      <c r="L21" s="2" t="s">
        <v>778</v>
      </c>
      <c r="M21" s="2">
        <v>39</v>
      </c>
      <c r="N21" s="2"/>
    </row>
    <row r="22" spans="1:14">
      <c r="A22" s="2" t="s">
        <v>846</v>
      </c>
      <c r="B22" s="2" t="s">
        <v>774</v>
      </c>
      <c r="C22" s="2" t="s">
        <v>775</v>
      </c>
      <c r="D22" s="2" t="s">
        <v>773</v>
      </c>
      <c r="E22" s="2" t="s">
        <v>775</v>
      </c>
      <c r="F22" s="2" t="s">
        <v>773</v>
      </c>
      <c r="G22" s="2" t="s">
        <v>847</v>
      </c>
      <c r="H22">
        <v>0.1</v>
      </c>
      <c r="I22">
        <v>50</v>
      </c>
      <c r="J22" s="2" t="s">
        <v>807</v>
      </c>
      <c r="K22" s="2" t="s">
        <v>777</v>
      </c>
      <c r="L22" s="2" t="s">
        <v>778</v>
      </c>
      <c r="M22" s="2">
        <v>47</v>
      </c>
      <c r="N22" s="2"/>
    </row>
    <row r="23" spans="1:14">
      <c r="A23" s="2" t="s">
        <v>848</v>
      </c>
      <c r="B23" s="2" t="s">
        <v>774</v>
      </c>
      <c r="C23" s="2" t="s">
        <v>775</v>
      </c>
      <c r="D23" s="2" t="s">
        <v>773</v>
      </c>
      <c r="E23" s="2" t="s">
        <v>775</v>
      </c>
      <c r="F23" s="2" t="s">
        <v>773</v>
      </c>
      <c r="G23" s="2" t="s">
        <v>849</v>
      </c>
      <c r="H23">
        <v>0.1</v>
      </c>
      <c r="I23">
        <v>50</v>
      </c>
      <c r="J23" s="2" t="s">
        <v>807</v>
      </c>
      <c r="K23" s="2" t="s">
        <v>777</v>
      </c>
      <c r="L23" s="2" t="s">
        <v>778</v>
      </c>
      <c r="M23" s="2">
        <v>56</v>
      </c>
      <c r="N23" s="2"/>
    </row>
    <row r="24" spans="1:14">
      <c r="A24" s="2" t="s">
        <v>850</v>
      </c>
      <c r="B24" s="2" t="s">
        <v>774</v>
      </c>
      <c r="C24" s="2" t="s">
        <v>775</v>
      </c>
      <c r="D24" s="2" t="s">
        <v>773</v>
      </c>
      <c r="E24" s="2" t="s">
        <v>775</v>
      </c>
      <c r="F24" s="2" t="s">
        <v>773</v>
      </c>
      <c r="G24" s="2" t="s">
        <v>851</v>
      </c>
      <c r="H24">
        <v>0.1</v>
      </c>
      <c r="I24">
        <v>50</v>
      </c>
      <c r="J24" s="2" t="s">
        <v>807</v>
      </c>
      <c r="K24" s="2" t="s">
        <v>777</v>
      </c>
      <c r="L24" s="2" t="s">
        <v>778</v>
      </c>
      <c r="M24" s="2">
        <v>68</v>
      </c>
      <c r="N24" s="2"/>
    </row>
    <row r="25" spans="1:14">
      <c r="A25" s="2" t="s">
        <v>852</v>
      </c>
      <c r="B25" s="2" t="s">
        <v>774</v>
      </c>
      <c r="C25" s="2" t="s">
        <v>775</v>
      </c>
      <c r="D25" s="2" t="s">
        <v>773</v>
      </c>
      <c r="E25" s="2" t="s">
        <v>775</v>
      </c>
      <c r="F25" s="2" t="s">
        <v>773</v>
      </c>
      <c r="G25" s="2" t="s">
        <v>853</v>
      </c>
      <c r="H25">
        <v>0.1</v>
      </c>
      <c r="I25">
        <v>50</v>
      </c>
      <c r="J25" s="2" t="s">
        <v>807</v>
      </c>
      <c r="K25" s="2" t="s">
        <v>777</v>
      </c>
      <c r="L25" s="2" t="s">
        <v>778</v>
      </c>
      <c r="M25" s="2">
        <v>82</v>
      </c>
      <c r="N25" s="2"/>
    </row>
    <row r="26" spans="1:14">
      <c r="A26" s="2" t="s">
        <v>854</v>
      </c>
      <c r="B26" s="2" t="s">
        <v>774</v>
      </c>
      <c r="C26" s="2" t="s">
        <v>775</v>
      </c>
      <c r="D26" s="2" t="s">
        <v>773</v>
      </c>
      <c r="E26" s="2" t="s">
        <v>775</v>
      </c>
      <c r="F26" s="2" t="s">
        <v>773</v>
      </c>
      <c r="G26" s="2" t="s">
        <v>776</v>
      </c>
      <c r="H26">
        <v>0.1</v>
      </c>
      <c r="I26">
        <v>50</v>
      </c>
      <c r="J26" s="2" t="s">
        <v>807</v>
      </c>
      <c r="K26" s="2" t="s">
        <v>777</v>
      </c>
      <c r="L26" s="2" t="s">
        <v>778</v>
      </c>
      <c r="M26" s="2">
        <v>100</v>
      </c>
      <c r="N26" s="2"/>
    </row>
    <row r="27" spans="1:14">
      <c r="A27" s="2" t="s">
        <v>855</v>
      </c>
      <c r="B27" s="2" t="s">
        <v>774</v>
      </c>
      <c r="C27" s="2" t="s">
        <v>775</v>
      </c>
      <c r="D27" s="2" t="s">
        <v>773</v>
      </c>
      <c r="E27" s="2" t="s">
        <v>775</v>
      </c>
      <c r="F27" s="2" t="s">
        <v>773</v>
      </c>
      <c r="G27" s="2" t="s">
        <v>856</v>
      </c>
      <c r="H27">
        <v>0.1</v>
      </c>
      <c r="I27">
        <v>50</v>
      </c>
      <c r="J27" s="2" t="s">
        <v>807</v>
      </c>
      <c r="K27" s="2" t="s">
        <v>777</v>
      </c>
      <c r="L27" s="2" t="s">
        <v>778</v>
      </c>
      <c r="M27" s="2">
        <v>120</v>
      </c>
      <c r="N27" s="2"/>
    </row>
    <row r="28" spans="1:14">
      <c r="A28" s="2" t="s">
        <v>857</v>
      </c>
      <c r="B28" s="2" t="s">
        <v>774</v>
      </c>
      <c r="C28" s="2" t="s">
        <v>775</v>
      </c>
      <c r="D28" s="2" t="s">
        <v>773</v>
      </c>
      <c r="E28" s="2" t="s">
        <v>775</v>
      </c>
      <c r="F28" s="2" t="s">
        <v>773</v>
      </c>
      <c r="G28" s="2" t="s">
        <v>858</v>
      </c>
      <c r="H28">
        <v>0.1</v>
      </c>
      <c r="I28">
        <v>50</v>
      </c>
      <c r="J28" s="2" t="s">
        <v>807</v>
      </c>
      <c r="K28" s="2" t="s">
        <v>777</v>
      </c>
      <c r="L28" s="2" t="s">
        <v>778</v>
      </c>
      <c r="M28" s="2">
        <v>150</v>
      </c>
      <c r="N28" s="2"/>
    </row>
    <row r="29" spans="1:14">
      <c r="A29" s="2" t="s">
        <v>859</v>
      </c>
      <c r="B29" s="2" t="s">
        <v>774</v>
      </c>
      <c r="C29" s="2" t="s">
        <v>775</v>
      </c>
      <c r="D29" s="2" t="s">
        <v>773</v>
      </c>
      <c r="E29" s="2" t="s">
        <v>775</v>
      </c>
      <c r="F29" s="2" t="s">
        <v>773</v>
      </c>
      <c r="G29" s="2" t="s">
        <v>860</v>
      </c>
      <c r="H29">
        <v>0.1</v>
      </c>
      <c r="I29">
        <v>50</v>
      </c>
      <c r="J29" s="2" t="s">
        <v>807</v>
      </c>
      <c r="K29" s="2" t="s">
        <v>777</v>
      </c>
      <c r="L29" s="2" t="s">
        <v>778</v>
      </c>
      <c r="M29" s="2">
        <v>180</v>
      </c>
      <c r="N29" s="2"/>
    </row>
    <row r="30" spans="1:14">
      <c r="A30" s="2" t="s">
        <v>861</v>
      </c>
      <c r="B30" s="2" t="s">
        <v>774</v>
      </c>
      <c r="C30" s="2" t="s">
        <v>775</v>
      </c>
      <c r="D30" s="2" t="s">
        <v>773</v>
      </c>
      <c r="E30" s="2" t="s">
        <v>775</v>
      </c>
      <c r="F30" s="2" t="s">
        <v>773</v>
      </c>
      <c r="G30" s="2" t="s">
        <v>862</v>
      </c>
      <c r="H30">
        <v>0.1</v>
      </c>
      <c r="I30">
        <v>50</v>
      </c>
      <c r="J30" s="2" t="s">
        <v>807</v>
      </c>
      <c r="K30" s="2" t="s">
        <v>777</v>
      </c>
      <c r="L30" s="2" t="s">
        <v>778</v>
      </c>
      <c r="M30" s="2">
        <v>220</v>
      </c>
      <c r="N30" s="2"/>
    </row>
    <row r="31" spans="1:14">
      <c r="A31" s="2" t="s">
        <v>863</v>
      </c>
      <c r="B31" s="2" t="s">
        <v>774</v>
      </c>
      <c r="C31" s="2" t="s">
        <v>775</v>
      </c>
      <c r="D31" s="2" t="s">
        <v>773</v>
      </c>
      <c r="E31" s="2" t="s">
        <v>775</v>
      </c>
      <c r="F31" s="2" t="s">
        <v>773</v>
      </c>
      <c r="G31" s="2" t="s">
        <v>864</v>
      </c>
      <c r="H31">
        <v>0.1</v>
      </c>
      <c r="I31">
        <v>50</v>
      </c>
      <c r="J31" s="2" t="s">
        <v>807</v>
      </c>
      <c r="K31" s="2" t="s">
        <v>777</v>
      </c>
      <c r="L31" s="2" t="s">
        <v>778</v>
      </c>
      <c r="M31" s="2">
        <v>270</v>
      </c>
      <c r="N31" s="2"/>
    </row>
    <row r="32" spans="1:14">
      <c r="A32" s="2" t="s">
        <v>865</v>
      </c>
      <c r="B32" s="2" t="s">
        <v>774</v>
      </c>
      <c r="C32" s="2" t="s">
        <v>775</v>
      </c>
      <c r="D32" s="2" t="s">
        <v>773</v>
      </c>
      <c r="E32" s="2" t="s">
        <v>775</v>
      </c>
      <c r="F32" s="2" t="s">
        <v>773</v>
      </c>
      <c r="G32" s="2" t="s">
        <v>866</v>
      </c>
      <c r="H32">
        <v>0.1</v>
      </c>
      <c r="I32">
        <v>50</v>
      </c>
      <c r="J32" s="2" t="s">
        <v>807</v>
      </c>
      <c r="K32" s="2" t="s">
        <v>777</v>
      </c>
      <c r="L32" s="2" t="s">
        <v>778</v>
      </c>
      <c r="M32" s="2">
        <v>330</v>
      </c>
      <c r="N32" s="2"/>
    </row>
    <row r="33" spans="1:14">
      <c r="A33" s="2" t="s">
        <v>867</v>
      </c>
      <c r="B33" s="2" t="s">
        <v>774</v>
      </c>
      <c r="C33" s="2" t="s">
        <v>775</v>
      </c>
      <c r="D33" s="2" t="s">
        <v>773</v>
      </c>
      <c r="E33" s="2" t="s">
        <v>775</v>
      </c>
      <c r="F33" s="2" t="s">
        <v>773</v>
      </c>
      <c r="G33" s="2" t="s">
        <v>868</v>
      </c>
      <c r="H33">
        <v>0.1</v>
      </c>
      <c r="I33">
        <v>50</v>
      </c>
      <c r="J33" s="2" t="s">
        <v>807</v>
      </c>
      <c r="K33" s="2" t="s">
        <v>777</v>
      </c>
      <c r="L33" s="2" t="s">
        <v>778</v>
      </c>
      <c r="M33" s="2">
        <v>390</v>
      </c>
      <c r="N33" s="2"/>
    </row>
    <row r="34" spans="1:14">
      <c r="A34" s="2" t="s">
        <v>869</v>
      </c>
      <c r="B34" s="2" t="s">
        <v>774</v>
      </c>
      <c r="C34" s="2" t="s">
        <v>775</v>
      </c>
      <c r="D34" s="2" t="s">
        <v>773</v>
      </c>
      <c r="E34" s="2" t="s">
        <v>775</v>
      </c>
      <c r="F34" s="2" t="s">
        <v>773</v>
      </c>
      <c r="G34" s="2" t="s">
        <v>870</v>
      </c>
      <c r="H34">
        <v>0.1</v>
      </c>
      <c r="I34">
        <v>50</v>
      </c>
      <c r="J34" s="2" t="s">
        <v>807</v>
      </c>
      <c r="K34" s="2" t="s">
        <v>777</v>
      </c>
      <c r="L34" s="2" t="s">
        <v>778</v>
      </c>
      <c r="M34" s="2">
        <v>470</v>
      </c>
      <c r="N34" s="2"/>
    </row>
    <row r="35" spans="1:14">
      <c r="A35" s="2" t="s">
        <v>871</v>
      </c>
      <c r="B35" s="2" t="s">
        <v>774</v>
      </c>
      <c r="C35" s="2" t="s">
        <v>775</v>
      </c>
      <c r="D35" s="2" t="s">
        <v>773</v>
      </c>
      <c r="E35" s="2" t="s">
        <v>775</v>
      </c>
      <c r="F35" s="2" t="s">
        <v>773</v>
      </c>
      <c r="G35" s="2" t="s">
        <v>872</v>
      </c>
      <c r="H35">
        <v>0.1</v>
      </c>
      <c r="I35">
        <v>50</v>
      </c>
      <c r="J35" s="2" t="s">
        <v>807</v>
      </c>
      <c r="K35" s="2" t="s">
        <v>777</v>
      </c>
      <c r="L35" s="2" t="s">
        <v>778</v>
      </c>
      <c r="M35" s="2">
        <v>560</v>
      </c>
      <c r="N35" s="2"/>
    </row>
    <row r="36" spans="1:14">
      <c r="A36" s="2" t="s">
        <v>873</v>
      </c>
      <c r="B36" s="2" t="s">
        <v>774</v>
      </c>
      <c r="C36" s="2" t="s">
        <v>775</v>
      </c>
      <c r="D36" s="2" t="s">
        <v>773</v>
      </c>
      <c r="E36" s="2" t="s">
        <v>775</v>
      </c>
      <c r="F36" s="2" t="s">
        <v>773</v>
      </c>
      <c r="G36" s="2" t="s">
        <v>874</v>
      </c>
      <c r="H36">
        <v>0.1</v>
      </c>
      <c r="I36">
        <v>50</v>
      </c>
      <c r="J36" s="2" t="s">
        <v>807</v>
      </c>
      <c r="K36" s="2" t="s">
        <v>777</v>
      </c>
      <c r="L36" s="2" t="s">
        <v>778</v>
      </c>
      <c r="M36" s="2">
        <v>680</v>
      </c>
      <c r="N36" s="2"/>
    </row>
    <row r="37" spans="1:14">
      <c r="A37" s="2" t="s">
        <v>875</v>
      </c>
      <c r="B37" s="2" t="s">
        <v>774</v>
      </c>
      <c r="C37" s="2" t="s">
        <v>775</v>
      </c>
      <c r="D37" s="2" t="s">
        <v>773</v>
      </c>
      <c r="E37" s="2" t="s">
        <v>775</v>
      </c>
      <c r="F37" s="2" t="s">
        <v>773</v>
      </c>
      <c r="G37" s="2" t="s">
        <v>876</v>
      </c>
      <c r="H37">
        <v>0.1</v>
      </c>
      <c r="I37">
        <v>50</v>
      </c>
      <c r="J37" s="2" t="s">
        <v>807</v>
      </c>
      <c r="K37" s="2" t="s">
        <v>777</v>
      </c>
      <c r="L37" s="2" t="s">
        <v>778</v>
      </c>
      <c r="M37" s="2">
        <v>820</v>
      </c>
      <c r="N37" s="2"/>
    </row>
    <row r="38" spans="1:14">
      <c r="A38" s="2" t="s">
        <v>877</v>
      </c>
      <c r="B38" s="2" t="s">
        <v>774</v>
      </c>
      <c r="C38" s="2" t="s">
        <v>775</v>
      </c>
      <c r="D38" s="2" t="s">
        <v>773</v>
      </c>
      <c r="E38" s="2" t="s">
        <v>775</v>
      </c>
      <c r="F38" s="2" t="s">
        <v>773</v>
      </c>
      <c r="G38" s="2" t="s">
        <v>878</v>
      </c>
      <c r="H38">
        <v>0.1</v>
      </c>
      <c r="I38">
        <v>50</v>
      </c>
      <c r="J38" s="2" t="s">
        <v>807</v>
      </c>
      <c r="K38" s="2" t="s">
        <v>777</v>
      </c>
      <c r="L38" s="2" t="s">
        <v>778</v>
      </c>
      <c r="M38" s="2">
        <v>1000</v>
      </c>
      <c r="N38" s="2"/>
    </row>
    <row r="39" spans="1:14">
      <c r="A39" s="2" t="s">
        <v>879</v>
      </c>
      <c r="B39" s="2" t="s">
        <v>774</v>
      </c>
      <c r="C39" s="2" t="s">
        <v>775</v>
      </c>
      <c r="D39" s="2" t="s">
        <v>773</v>
      </c>
      <c r="E39" s="2" t="s">
        <v>775</v>
      </c>
      <c r="F39" s="2" t="s">
        <v>773</v>
      </c>
      <c r="G39" s="2" t="s">
        <v>786</v>
      </c>
      <c r="H39" s="15">
        <v>0.1</v>
      </c>
      <c r="I39">
        <v>50</v>
      </c>
      <c r="J39" s="2" t="s">
        <v>807</v>
      </c>
      <c r="K39" s="2" t="s">
        <v>880</v>
      </c>
      <c r="L39" s="2" t="s">
        <v>881</v>
      </c>
      <c r="M39" s="2">
        <v>4700</v>
      </c>
      <c r="N39" s="2"/>
    </row>
    <row r="40" spans="1:14">
      <c r="A40" s="2" t="s">
        <v>882</v>
      </c>
      <c r="B40" s="2" t="s">
        <v>774</v>
      </c>
      <c r="C40" s="2" t="s">
        <v>775</v>
      </c>
      <c r="D40" s="2" t="s">
        <v>773</v>
      </c>
      <c r="E40" s="2" t="s">
        <v>775</v>
      </c>
      <c r="F40" s="2" t="s">
        <v>773</v>
      </c>
      <c r="G40" s="2" t="s">
        <v>883</v>
      </c>
      <c r="H40" s="15">
        <v>0.1</v>
      </c>
      <c r="I40">
        <v>35</v>
      </c>
      <c r="J40" s="2" t="s">
        <v>807</v>
      </c>
      <c r="K40" s="2" t="s">
        <v>884</v>
      </c>
      <c r="L40" s="2" t="s">
        <v>885</v>
      </c>
      <c r="M40" s="2">
        <v>10000</v>
      </c>
      <c r="N40" s="2"/>
    </row>
    <row r="41" spans="1:14">
      <c r="A41" s="2" t="s">
        <v>886</v>
      </c>
      <c r="B41" s="2" t="s">
        <v>774</v>
      </c>
      <c r="C41" s="2" t="s">
        <v>775</v>
      </c>
      <c r="D41" s="2" t="s">
        <v>773</v>
      </c>
      <c r="E41" s="2" t="s">
        <v>775</v>
      </c>
      <c r="F41" s="2" t="s">
        <v>773</v>
      </c>
      <c r="G41" s="2" t="s">
        <v>887</v>
      </c>
      <c r="H41" s="15">
        <v>0.1</v>
      </c>
      <c r="I41">
        <v>25</v>
      </c>
      <c r="J41" s="2" t="s">
        <v>807</v>
      </c>
      <c r="K41" s="2" t="s">
        <v>884</v>
      </c>
      <c r="L41" s="2" t="s">
        <v>885</v>
      </c>
      <c r="M41" s="2">
        <v>22000</v>
      </c>
      <c r="N41" s="2"/>
    </row>
    <row r="42" spans="1:14">
      <c r="A42" s="2" t="s">
        <v>888</v>
      </c>
      <c r="B42" s="2" t="s">
        <v>774</v>
      </c>
      <c r="C42" s="2" t="s">
        <v>775</v>
      </c>
      <c r="D42" s="2" t="s">
        <v>773</v>
      </c>
      <c r="E42" s="2" t="s">
        <v>775</v>
      </c>
      <c r="F42" s="2" t="s">
        <v>773</v>
      </c>
      <c r="G42" s="2" t="s">
        <v>776</v>
      </c>
      <c r="H42" s="15">
        <v>0.1</v>
      </c>
      <c r="I42">
        <v>1000</v>
      </c>
      <c r="J42" s="2" t="s">
        <v>807</v>
      </c>
      <c r="K42" s="2" t="s">
        <v>889</v>
      </c>
      <c r="L42" s="2" t="s">
        <v>890</v>
      </c>
      <c r="M42" s="2">
        <v>100</v>
      </c>
      <c r="N42" s="2"/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24"/>
  <sheetViews>
    <sheetView workbookViewId="0">
      <selection activeCell="J30" sqref="J30"/>
    </sheetView>
  </sheetViews>
  <sheetFormatPr defaultColWidth="9" defaultRowHeight="14.4"/>
  <cols>
    <col min="1" max="1" width="27.5555555555556" customWidth="1"/>
    <col min="2" max="2" width="23.2222222222222" customWidth="1"/>
    <col min="3" max="3" width="12.2222222222222" customWidth="1"/>
    <col min="4" max="4" width="29.4444444444444" customWidth="1"/>
    <col min="5" max="5" width="14.2222222222222" customWidth="1"/>
    <col min="6" max="6" width="8.22222222222222" customWidth="1"/>
    <col min="7" max="7" width="12.2222222222222" customWidth="1"/>
    <col min="8" max="8" width="13" customWidth="1"/>
    <col min="9" max="9" width="8.77777777777778" customWidth="1"/>
    <col min="10" max="10" width="30.2222222222222" customWidth="1"/>
    <col min="11" max="11" width="16.7777777777778" customWidth="1"/>
    <col min="12" max="12" width="14.7777777777778" customWidth="1"/>
    <col min="13" max="13" width="19.2222222222222" customWidth="1"/>
    <col min="14" max="14" width="18.4444444444444" customWidth="1"/>
    <col min="15" max="15" width="13.2222222222222" customWidth="1"/>
  </cols>
  <sheetData>
    <row r="1" ht="15.6" spans="1:15">
      <c r="A1" s="11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141</v>
      </c>
      <c r="G1" s="12" t="s">
        <v>229</v>
      </c>
      <c r="H1" s="12" t="s">
        <v>802</v>
      </c>
      <c r="I1" s="12" t="s">
        <v>891</v>
      </c>
      <c r="J1" s="12" t="s">
        <v>5</v>
      </c>
      <c r="K1" s="12" t="s">
        <v>6</v>
      </c>
      <c r="L1" s="13" t="s">
        <v>892</v>
      </c>
      <c r="M1" s="12" t="s">
        <v>7</v>
      </c>
      <c r="N1" s="12" t="s">
        <v>8</v>
      </c>
      <c r="O1" s="14" t="s">
        <v>11</v>
      </c>
    </row>
    <row r="2" spans="1:12">
      <c r="A2" s="2" t="s">
        <v>893</v>
      </c>
      <c r="B2" s="2" t="s">
        <v>894</v>
      </c>
      <c r="C2" s="2" t="s">
        <v>773</v>
      </c>
      <c r="D2" s="2" t="s">
        <v>785</v>
      </c>
      <c r="E2" s="2" t="s">
        <v>783</v>
      </c>
      <c r="F2" s="2" t="s">
        <v>878</v>
      </c>
      <c r="G2">
        <v>0.1</v>
      </c>
      <c r="H2">
        <v>50</v>
      </c>
      <c r="I2" s="2" t="s">
        <v>895</v>
      </c>
      <c r="J2" s="2" t="s">
        <v>787</v>
      </c>
      <c r="K2" s="2" t="s">
        <v>788</v>
      </c>
      <c r="L2">
        <v>1</v>
      </c>
    </row>
    <row r="3" spans="1:12">
      <c r="A3" s="2" t="s">
        <v>896</v>
      </c>
      <c r="B3" s="2" t="s">
        <v>894</v>
      </c>
      <c r="C3" s="2" t="s">
        <v>773</v>
      </c>
      <c r="D3" s="2" t="s">
        <v>785</v>
      </c>
      <c r="E3" s="2" t="s">
        <v>783</v>
      </c>
      <c r="F3" s="2" t="s">
        <v>897</v>
      </c>
      <c r="G3">
        <v>0.1</v>
      </c>
      <c r="H3">
        <v>50</v>
      </c>
      <c r="I3" s="2" t="s">
        <v>895</v>
      </c>
      <c r="J3" s="2" t="s">
        <v>787</v>
      </c>
      <c r="K3" s="2" t="s">
        <v>788</v>
      </c>
      <c r="L3">
        <v>1.5</v>
      </c>
    </row>
    <row r="4" spans="1:12">
      <c r="A4" s="2" t="s">
        <v>898</v>
      </c>
      <c r="B4" s="2" t="s">
        <v>894</v>
      </c>
      <c r="C4" s="2" t="s">
        <v>773</v>
      </c>
      <c r="D4" s="2" t="s">
        <v>785</v>
      </c>
      <c r="E4" s="2" t="s">
        <v>783</v>
      </c>
      <c r="F4" s="2" t="s">
        <v>899</v>
      </c>
      <c r="G4">
        <v>0.1</v>
      </c>
      <c r="H4">
        <v>50</v>
      </c>
      <c r="I4" s="2" t="s">
        <v>895</v>
      </c>
      <c r="J4" s="2" t="s">
        <v>787</v>
      </c>
      <c r="K4" s="2" t="s">
        <v>788</v>
      </c>
      <c r="L4">
        <v>2.2</v>
      </c>
    </row>
    <row r="5" spans="1:12">
      <c r="A5" s="2" t="s">
        <v>900</v>
      </c>
      <c r="B5" s="2" t="s">
        <v>894</v>
      </c>
      <c r="C5" s="2" t="s">
        <v>773</v>
      </c>
      <c r="D5" s="2" t="s">
        <v>785</v>
      </c>
      <c r="E5" s="2" t="s">
        <v>783</v>
      </c>
      <c r="F5" s="2" t="s">
        <v>901</v>
      </c>
      <c r="G5">
        <v>0.1</v>
      </c>
      <c r="H5">
        <v>50</v>
      </c>
      <c r="I5" s="2" t="s">
        <v>895</v>
      </c>
      <c r="J5" s="2" t="s">
        <v>787</v>
      </c>
      <c r="K5" s="2" t="s">
        <v>788</v>
      </c>
      <c r="L5">
        <v>3.3</v>
      </c>
    </row>
    <row r="6" spans="1:12">
      <c r="A6" s="2" t="s">
        <v>902</v>
      </c>
      <c r="B6" s="2" t="s">
        <v>894</v>
      </c>
      <c r="C6" s="2" t="s">
        <v>773</v>
      </c>
      <c r="D6" s="2" t="s">
        <v>785</v>
      </c>
      <c r="E6" s="2" t="s">
        <v>783</v>
      </c>
      <c r="F6" s="2" t="s">
        <v>786</v>
      </c>
      <c r="G6">
        <v>0.1</v>
      </c>
      <c r="H6">
        <v>50</v>
      </c>
      <c r="I6" s="2" t="s">
        <v>895</v>
      </c>
      <c r="J6" s="2" t="s">
        <v>787</v>
      </c>
      <c r="K6" s="2" t="s">
        <v>788</v>
      </c>
      <c r="L6">
        <v>4.7</v>
      </c>
    </row>
    <row r="7" spans="1:12">
      <c r="A7" s="2" t="s">
        <v>903</v>
      </c>
      <c r="B7" s="2" t="s">
        <v>894</v>
      </c>
      <c r="C7" s="2" t="s">
        <v>773</v>
      </c>
      <c r="D7" s="2" t="s">
        <v>785</v>
      </c>
      <c r="E7" s="2" t="s">
        <v>783</v>
      </c>
      <c r="F7" s="2" t="s">
        <v>904</v>
      </c>
      <c r="G7">
        <v>0.1</v>
      </c>
      <c r="H7">
        <v>50</v>
      </c>
      <c r="I7" s="2" t="s">
        <v>895</v>
      </c>
      <c r="J7" s="2" t="s">
        <v>787</v>
      </c>
      <c r="K7" s="2" t="s">
        <v>788</v>
      </c>
      <c r="L7">
        <v>6.8</v>
      </c>
    </row>
    <row r="8" spans="1:12">
      <c r="A8" s="2" t="s">
        <v>905</v>
      </c>
      <c r="B8" s="2" t="s">
        <v>894</v>
      </c>
      <c r="C8" s="2" t="s">
        <v>773</v>
      </c>
      <c r="D8" s="2" t="s">
        <v>785</v>
      </c>
      <c r="E8" s="2" t="s">
        <v>783</v>
      </c>
      <c r="F8" s="2" t="s">
        <v>883</v>
      </c>
      <c r="G8">
        <v>0.1</v>
      </c>
      <c r="H8">
        <v>50</v>
      </c>
      <c r="I8" s="2" t="s">
        <v>895</v>
      </c>
      <c r="J8" s="2" t="s">
        <v>787</v>
      </c>
      <c r="K8" s="2" t="s">
        <v>788</v>
      </c>
      <c r="L8">
        <v>10</v>
      </c>
    </row>
    <row r="9" spans="1:12">
      <c r="A9" s="2" t="s">
        <v>906</v>
      </c>
      <c r="B9" s="2" t="s">
        <v>894</v>
      </c>
      <c r="C9" s="2" t="s">
        <v>773</v>
      </c>
      <c r="D9" s="2" t="s">
        <v>785</v>
      </c>
      <c r="E9" s="2" t="s">
        <v>783</v>
      </c>
      <c r="F9" s="2" t="s">
        <v>907</v>
      </c>
      <c r="G9">
        <v>0.1</v>
      </c>
      <c r="H9">
        <v>50</v>
      </c>
      <c r="I9" s="2" t="s">
        <v>895</v>
      </c>
      <c r="J9" s="2" t="s">
        <v>787</v>
      </c>
      <c r="K9" s="2" t="s">
        <v>788</v>
      </c>
      <c r="L9">
        <v>15</v>
      </c>
    </row>
    <row r="10" spans="1:12">
      <c r="A10" s="2" t="s">
        <v>908</v>
      </c>
      <c r="B10" s="2" t="s">
        <v>894</v>
      </c>
      <c r="C10" s="2" t="s">
        <v>773</v>
      </c>
      <c r="D10" s="2" t="s">
        <v>785</v>
      </c>
      <c r="E10" s="2" t="s">
        <v>783</v>
      </c>
      <c r="F10" s="2" t="s">
        <v>887</v>
      </c>
      <c r="G10">
        <v>0.1</v>
      </c>
      <c r="H10">
        <v>50</v>
      </c>
      <c r="I10" s="2" t="s">
        <v>895</v>
      </c>
      <c r="J10" s="2" t="s">
        <v>787</v>
      </c>
      <c r="K10" s="2" t="s">
        <v>788</v>
      </c>
      <c r="L10">
        <v>22</v>
      </c>
    </row>
    <row r="11" spans="1:12">
      <c r="A11" s="2" t="s">
        <v>909</v>
      </c>
      <c r="B11" s="2" t="s">
        <v>894</v>
      </c>
      <c r="C11" s="2" t="s">
        <v>773</v>
      </c>
      <c r="D11" s="2" t="s">
        <v>785</v>
      </c>
      <c r="E11" s="2" t="s">
        <v>783</v>
      </c>
      <c r="F11" s="2" t="s">
        <v>910</v>
      </c>
      <c r="G11">
        <v>0.1</v>
      </c>
      <c r="H11">
        <v>50</v>
      </c>
      <c r="I11" s="2" t="s">
        <v>895</v>
      </c>
      <c r="J11" s="2" t="s">
        <v>787</v>
      </c>
      <c r="K11" s="2" t="s">
        <v>788</v>
      </c>
      <c r="L11">
        <v>33</v>
      </c>
    </row>
    <row r="12" spans="1:12">
      <c r="A12" s="2" t="s">
        <v>911</v>
      </c>
      <c r="B12" s="2" t="s">
        <v>894</v>
      </c>
      <c r="C12" s="2" t="s">
        <v>773</v>
      </c>
      <c r="D12" s="2" t="s">
        <v>785</v>
      </c>
      <c r="E12" s="2" t="s">
        <v>783</v>
      </c>
      <c r="F12" s="2" t="s">
        <v>912</v>
      </c>
      <c r="G12">
        <v>0.1</v>
      </c>
      <c r="H12">
        <v>50</v>
      </c>
      <c r="I12" s="2" t="s">
        <v>895</v>
      </c>
      <c r="J12" s="2" t="s">
        <v>787</v>
      </c>
      <c r="K12" s="2" t="s">
        <v>788</v>
      </c>
      <c r="L12">
        <v>47</v>
      </c>
    </row>
    <row r="13" spans="1:12">
      <c r="A13" s="2" t="s">
        <v>913</v>
      </c>
      <c r="B13" s="2" t="s">
        <v>894</v>
      </c>
      <c r="C13" s="2" t="s">
        <v>773</v>
      </c>
      <c r="D13" s="2" t="s">
        <v>785</v>
      </c>
      <c r="E13" s="2" t="s">
        <v>783</v>
      </c>
      <c r="F13" s="2" t="s">
        <v>914</v>
      </c>
      <c r="G13">
        <v>0.1</v>
      </c>
      <c r="H13">
        <v>50</v>
      </c>
      <c r="I13" s="2" t="s">
        <v>895</v>
      </c>
      <c r="J13" s="2" t="s">
        <v>787</v>
      </c>
      <c r="K13" s="2" t="s">
        <v>788</v>
      </c>
      <c r="L13">
        <v>68</v>
      </c>
    </row>
    <row r="14" spans="1:12">
      <c r="A14" s="2" t="s">
        <v>915</v>
      </c>
      <c r="B14" s="2" t="s">
        <v>894</v>
      </c>
      <c r="C14" s="2" t="s">
        <v>773</v>
      </c>
      <c r="D14" s="2" t="s">
        <v>785</v>
      </c>
      <c r="E14" s="2" t="s">
        <v>783</v>
      </c>
      <c r="F14" s="2" t="s">
        <v>916</v>
      </c>
      <c r="G14">
        <v>0.1</v>
      </c>
      <c r="H14">
        <v>50</v>
      </c>
      <c r="I14" s="2" t="s">
        <v>895</v>
      </c>
      <c r="J14" s="2" t="s">
        <v>787</v>
      </c>
      <c r="K14" s="2" t="s">
        <v>788</v>
      </c>
      <c r="L14">
        <v>100</v>
      </c>
    </row>
    <row r="15" spans="1:12">
      <c r="A15" s="2" t="s">
        <v>917</v>
      </c>
      <c r="B15" s="2" t="s">
        <v>894</v>
      </c>
      <c r="C15" s="2" t="s">
        <v>773</v>
      </c>
      <c r="D15" s="2" t="s">
        <v>785</v>
      </c>
      <c r="E15" s="2" t="s">
        <v>783</v>
      </c>
      <c r="F15" s="2" t="s">
        <v>918</v>
      </c>
      <c r="G15">
        <v>0.1</v>
      </c>
      <c r="H15">
        <v>50</v>
      </c>
      <c r="I15" s="2" t="s">
        <v>895</v>
      </c>
      <c r="J15" s="2" t="s">
        <v>787</v>
      </c>
      <c r="K15" s="2" t="s">
        <v>788</v>
      </c>
      <c r="L15">
        <v>150</v>
      </c>
    </row>
    <row r="16" spans="1:12">
      <c r="A16" s="2" t="s">
        <v>919</v>
      </c>
      <c r="B16" s="2" t="s">
        <v>894</v>
      </c>
      <c r="C16" s="2" t="s">
        <v>773</v>
      </c>
      <c r="D16" s="2" t="s">
        <v>785</v>
      </c>
      <c r="E16" s="2" t="s">
        <v>783</v>
      </c>
      <c r="F16" s="2" t="s">
        <v>920</v>
      </c>
      <c r="G16">
        <v>0.1</v>
      </c>
      <c r="H16">
        <v>50</v>
      </c>
      <c r="I16" s="2" t="s">
        <v>895</v>
      </c>
      <c r="J16" s="2" t="s">
        <v>787</v>
      </c>
      <c r="K16" s="2" t="s">
        <v>788</v>
      </c>
      <c r="L16">
        <v>220</v>
      </c>
    </row>
    <row r="17" spans="1:12">
      <c r="A17" s="2" t="s">
        <v>921</v>
      </c>
      <c r="B17" s="2" t="s">
        <v>894</v>
      </c>
      <c r="C17" s="2" t="s">
        <v>773</v>
      </c>
      <c r="D17" s="2" t="s">
        <v>785</v>
      </c>
      <c r="E17" s="2" t="s">
        <v>783</v>
      </c>
      <c r="F17" s="2" t="s">
        <v>922</v>
      </c>
      <c r="G17">
        <v>0.1</v>
      </c>
      <c r="H17">
        <v>50</v>
      </c>
      <c r="I17" s="2" t="s">
        <v>895</v>
      </c>
      <c r="J17" s="2" t="s">
        <v>787</v>
      </c>
      <c r="K17" s="2" t="s">
        <v>788</v>
      </c>
      <c r="L17">
        <v>330</v>
      </c>
    </row>
    <row r="18" spans="1:12">
      <c r="A18" s="2" t="s">
        <v>923</v>
      </c>
      <c r="B18" s="2" t="s">
        <v>894</v>
      </c>
      <c r="C18" s="2" t="s">
        <v>773</v>
      </c>
      <c r="D18" s="2" t="s">
        <v>785</v>
      </c>
      <c r="E18" s="2" t="s">
        <v>783</v>
      </c>
      <c r="F18" s="2" t="s">
        <v>924</v>
      </c>
      <c r="G18">
        <v>0.1</v>
      </c>
      <c r="H18">
        <v>50</v>
      </c>
      <c r="I18" s="2" t="s">
        <v>895</v>
      </c>
      <c r="J18" s="2" t="s">
        <v>787</v>
      </c>
      <c r="K18" s="2" t="s">
        <v>788</v>
      </c>
      <c r="L18">
        <v>470</v>
      </c>
    </row>
    <row r="19" spans="1:12">
      <c r="A19" s="2" t="s">
        <v>925</v>
      </c>
      <c r="B19" s="2" t="s">
        <v>894</v>
      </c>
      <c r="C19" s="2" t="s">
        <v>773</v>
      </c>
      <c r="D19" s="2" t="s">
        <v>785</v>
      </c>
      <c r="E19" s="2" t="s">
        <v>783</v>
      </c>
      <c r="F19" s="2" t="s">
        <v>926</v>
      </c>
      <c r="G19">
        <v>0.1</v>
      </c>
      <c r="H19">
        <v>50</v>
      </c>
      <c r="I19" s="2" t="s">
        <v>895</v>
      </c>
      <c r="J19" s="2" t="s">
        <v>787</v>
      </c>
      <c r="K19" s="2" t="s">
        <v>788</v>
      </c>
      <c r="L19">
        <v>680</v>
      </c>
    </row>
    <row r="20" spans="1:12">
      <c r="A20" s="2" t="s">
        <v>927</v>
      </c>
      <c r="B20" s="2" t="s">
        <v>894</v>
      </c>
      <c r="C20" s="2" t="s">
        <v>773</v>
      </c>
      <c r="D20" s="2" t="s">
        <v>785</v>
      </c>
      <c r="E20" s="2" t="s">
        <v>783</v>
      </c>
      <c r="F20" s="2" t="s">
        <v>928</v>
      </c>
      <c r="G20">
        <v>0.1</v>
      </c>
      <c r="H20">
        <v>50</v>
      </c>
      <c r="I20" s="2" t="s">
        <v>895</v>
      </c>
      <c r="J20" s="2" t="s">
        <v>787</v>
      </c>
      <c r="K20" s="2" t="s">
        <v>788</v>
      </c>
      <c r="L20">
        <v>1000</v>
      </c>
    </row>
    <row r="21" spans="1:14">
      <c r="A21" s="2" t="s">
        <v>929</v>
      </c>
      <c r="B21" t="s">
        <v>930</v>
      </c>
      <c r="C21" s="2" t="s">
        <v>773</v>
      </c>
      <c r="D21" s="2" t="s">
        <v>785</v>
      </c>
      <c r="E21" s="2" t="s">
        <v>783</v>
      </c>
      <c r="F21" s="2" t="s">
        <v>931</v>
      </c>
      <c r="G21">
        <v>20</v>
      </c>
      <c r="H21">
        <v>10</v>
      </c>
      <c r="I21" t="s">
        <v>932</v>
      </c>
      <c r="J21" s="2" t="s">
        <v>933</v>
      </c>
      <c r="K21" t="s">
        <v>934</v>
      </c>
      <c r="L21">
        <v>2200</v>
      </c>
      <c r="M21" s="2" t="s">
        <v>935</v>
      </c>
      <c r="N21" t="s">
        <v>936</v>
      </c>
    </row>
    <row r="22" spans="1:12">
      <c r="A22" t="s">
        <v>937</v>
      </c>
      <c r="B22" t="s">
        <v>938</v>
      </c>
      <c r="C22" s="2" t="s">
        <v>773</v>
      </c>
      <c r="D22" s="2" t="s">
        <v>785</v>
      </c>
      <c r="E22" s="2" t="s">
        <v>783</v>
      </c>
      <c r="F22" s="2" t="s">
        <v>928</v>
      </c>
      <c r="G22">
        <v>20</v>
      </c>
      <c r="H22">
        <v>25</v>
      </c>
      <c r="I22" t="s">
        <v>939</v>
      </c>
      <c r="J22" s="2" t="s">
        <v>940</v>
      </c>
      <c r="K22" t="s">
        <v>941</v>
      </c>
      <c r="L22">
        <v>1000</v>
      </c>
    </row>
    <row r="23" spans="1:12">
      <c r="A23" t="s">
        <v>942</v>
      </c>
      <c r="B23" t="s">
        <v>938</v>
      </c>
      <c r="C23" s="2" t="s">
        <v>773</v>
      </c>
      <c r="D23" s="2" t="s">
        <v>785</v>
      </c>
      <c r="E23" s="2" t="s">
        <v>783</v>
      </c>
      <c r="F23" s="2" t="s">
        <v>928</v>
      </c>
      <c r="G23">
        <v>20</v>
      </c>
      <c r="H23">
        <v>35</v>
      </c>
      <c r="I23" t="s">
        <v>939</v>
      </c>
      <c r="J23" s="2" t="s">
        <v>943</v>
      </c>
      <c r="K23" t="s">
        <v>944</v>
      </c>
      <c r="L23">
        <v>1000</v>
      </c>
    </row>
    <row r="24" spans="1:14">
      <c r="A24" t="s">
        <v>945</v>
      </c>
      <c r="B24" t="s">
        <v>946</v>
      </c>
      <c r="C24" s="2" t="s">
        <v>773</v>
      </c>
      <c r="D24" s="2" t="s">
        <v>785</v>
      </c>
      <c r="E24" s="2" t="s">
        <v>783</v>
      </c>
      <c r="F24" t="s">
        <v>947</v>
      </c>
      <c r="G24">
        <v>20</v>
      </c>
      <c r="H24">
        <v>400</v>
      </c>
      <c r="I24" t="s">
        <v>932</v>
      </c>
      <c r="J24" s="2" t="s">
        <v>948</v>
      </c>
      <c r="K24" t="s">
        <v>949</v>
      </c>
      <c r="L24">
        <v>3.3</v>
      </c>
      <c r="M24" s="2" t="s">
        <v>950</v>
      </c>
      <c r="N24" t="s">
        <v>951</v>
      </c>
    </row>
  </sheetData>
  <pageMargins left="0.7" right="0.7" top="0.75" bottom="0.75" header="0.3" footer="0.3"/>
  <headerFooter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4"/>
  <sheetViews>
    <sheetView topLeftCell="D1" workbookViewId="0">
      <selection activeCell="J23" sqref="J23"/>
    </sheetView>
  </sheetViews>
  <sheetFormatPr defaultColWidth="9" defaultRowHeight="14.4"/>
  <cols>
    <col min="1" max="1" width="14.7777777777778" customWidth="1"/>
    <col min="2" max="2" width="22.2222222222222" customWidth="1"/>
    <col min="3" max="3" width="12" customWidth="1"/>
    <col min="4" max="4" width="27.2222222222222" customWidth="1"/>
    <col min="5" max="5" width="12.7777777777778" customWidth="1"/>
    <col min="6" max="6" width="36.2222222222222" customWidth="1"/>
    <col min="7" max="7" width="16.7777777777778" customWidth="1"/>
    <col min="8" max="8" width="18.2222222222222" customWidth="1"/>
    <col min="9" max="9" width="16.7777777777778" customWidth="1"/>
    <col min="10" max="10" width="18.2222222222222" customWidth="1"/>
    <col min="11" max="11" width="16.7777777777778" customWidth="1"/>
    <col min="12" max="12" width="18.2222222222222" customWidth="1"/>
    <col min="13" max="13" width="16.7777777777778" customWidth="1"/>
    <col min="14" max="14" width="18" style="10" customWidth="1"/>
    <col min="15" max="15" width="13.5555555555556" customWidth="1"/>
    <col min="16" max="16" width="8.55555555555556" customWidth="1"/>
    <col min="17" max="17" width="12.2222222222222" customWidth="1"/>
  </cols>
  <sheetData>
    <row r="1" ht="15.6" spans="1:1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765</v>
      </c>
      <c r="M1" s="1" t="s">
        <v>766</v>
      </c>
      <c r="N1" s="7" t="s">
        <v>952</v>
      </c>
      <c r="O1" s="1" t="s">
        <v>116</v>
      </c>
      <c r="P1" s="1" t="s">
        <v>141</v>
      </c>
      <c r="Q1" s="1" t="s">
        <v>11</v>
      </c>
    </row>
    <row r="2" spans="1:16">
      <c r="A2" s="2" t="s">
        <v>953</v>
      </c>
      <c r="B2" s="2" t="s">
        <v>954</v>
      </c>
      <c r="C2" s="2" t="str">
        <f t="shared" ref="C2:C7" si="0">A2</f>
        <v>Inductance</v>
      </c>
      <c r="D2" s="2" t="s">
        <v>955</v>
      </c>
      <c r="E2" s="2" t="s">
        <v>953</v>
      </c>
      <c r="F2" s="2" t="str">
        <f t="shared" ref="F2:F7" si="1">CONCATENATE("Footprints\Inductance\",G2,".PcbLib")</f>
        <v>Footprints\Inductance\0603L.PcbLib</v>
      </c>
      <c r="G2" s="2" t="s">
        <v>956</v>
      </c>
      <c r="H2" s="2" t="str">
        <f>CONCATENATE("Footprints\Inductance\",I2,".PcbLib")</f>
        <v>Footprints\Inductance\1210L.PcbLib</v>
      </c>
      <c r="I2" s="2" t="s">
        <v>957</v>
      </c>
      <c r="J2" s="2" t="str">
        <f>CONCATENATE("Footprints\Inductance\",K2,".PcbLib")</f>
        <v>Footprints\Inductance\1212L.PcbLib</v>
      </c>
      <c r="K2" s="2" t="s">
        <v>958</v>
      </c>
      <c r="L2" s="2" t="str">
        <f>CONCATENATE("Footprints\Inductance\",M2,".PcbLib")</f>
        <v>Footprints\Inductance\12.8x12.8.PcbLib</v>
      </c>
      <c r="M2" s="2" t="s">
        <v>959</v>
      </c>
      <c r="O2" s="2"/>
      <c r="P2" s="2"/>
    </row>
    <row r="3" spans="1:16">
      <c r="A3" s="2" t="s">
        <v>960</v>
      </c>
      <c r="B3" s="2" t="s">
        <v>961</v>
      </c>
      <c r="C3" s="2" t="str">
        <f t="shared" si="0"/>
        <v>IHLP4040DZER330M11</v>
      </c>
      <c r="D3" s="2" t="s">
        <v>955</v>
      </c>
      <c r="E3" s="2" t="s">
        <v>953</v>
      </c>
      <c r="F3" s="2" t="str">
        <f t="shared" si="1"/>
        <v>Footprints\Inductance\IHLP-4040.PcbLib</v>
      </c>
      <c r="G3" s="2" t="s">
        <v>962</v>
      </c>
      <c r="H3" s="2"/>
      <c r="I3" s="2"/>
      <c r="J3" s="2"/>
      <c r="K3" s="2"/>
      <c r="L3" s="2"/>
      <c r="M3" s="2"/>
      <c r="N3" s="10">
        <v>33</v>
      </c>
      <c r="O3" s="2">
        <v>4.4</v>
      </c>
      <c r="P3" s="2" t="str">
        <f t="shared" ref="P3:P13" si="2">CONCATENATE(N3," мк")</f>
        <v>33 мк</v>
      </c>
    </row>
    <row r="4" spans="1:16">
      <c r="A4" s="2" t="s">
        <v>963</v>
      </c>
      <c r="B4" s="2" t="str">
        <f>CONCATENATE("Индуктивность на ",P4,"Гн, номинальный ток ",O4," A")</f>
        <v>Индуктивность на 68 мкГн, номинальный ток 0,82 A</v>
      </c>
      <c r="C4" s="2" t="str">
        <f t="shared" si="0"/>
        <v>B82472G6683M</v>
      </c>
      <c r="D4" s="2" t="s">
        <v>955</v>
      </c>
      <c r="E4" s="2" t="s">
        <v>953</v>
      </c>
      <c r="F4" s="2" t="str">
        <f t="shared" si="1"/>
        <v>Footprints\Inductance\7.3x7.3.PcbLib</v>
      </c>
      <c r="G4" s="2" t="s">
        <v>964</v>
      </c>
      <c r="H4" s="2"/>
      <c r="I4" s="2"/>
      <c r="J4" s="2"/>
      <c r="K4" s="2"/>
      <c r="L4" s="2"/>
      <c r="M4" s="2"/>
      <c r="N4" s="10">
        <v>68</v>
      </c>
      <c r="O4" s="2">
        <v>0.82</v>
      </c>
      <c r="P4" s="2" t="str">
        <f t="shared" si="2"/>
        <v>68 мк</v>
      </c>
    </row>
    <row r="5" spans="1:16">
      <c r="A5" t="s">
        <v>965</v>
      </c>
      <c r="B5" t="s">
        <v>966</v>
      </c>
      <c r="C5" t="str">
        <f t="shared" si="0"/>
        <v>IHLP2525CZER4R7M01</v>
      </c>
      <c r="D5" s="2" t="s">
        <v>955</v>
      </c>
      <c r="E5" s="2" t="s">
        <v>953</v>
      </c>
      <c r="F5" s="2" t="str">
        <f t="shared" si="1"/>
        <v>Footprints\Inductance\IHLP-2525.PcbLib</v>
      </c>
      <c r="G5" s="2" t="s">
        <v>967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0">
        <v>4.7</v>
      </c>
      <c r="O5" s="2">
        <v>5.5</v>
      </c>
      <c r="P5" t="str">
        <f t="shared" si="2"/>
        <v>4,7 мк</v>
      </c>
    </row>
    <row r="6" spans="1:16">
      <c r="A6" t="s">
        <v>968</v>
      </c>
      <c r="B6" t="s">
        <v>969</v>
      </c>
      <c r="C6" t="str">
        <f t="shared" si="0"/>
        <v>IHLP4040DZER220M11</v>
      </c>
      <c r="D6" s="2" t="s">
        <v>955</v>
      </c>
      <c r="E6" s="2" t="s">
        <v>953</v>
      </c>
      <c r="F6" s="2" t="str">
        <f t="shared" si="1"/>
        <v>Footprints\Inductance\IHLP-4040.PcbLib</v>
      </c>
      <c r="G6" s="2" t="s">
        <v>962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0">
        <v>22</v>
      </c>
      <c r="O6" s="2">
        <v>5</v>
      </c>
      <c r="P6" t="str">
        <f t="shared" si="2"/>
        <v>22 мк</v>
      </c>
    </row>
    <row r="7" spans="1:16">
      <c r="A7" t="s">
        <v>970</v>
      </c>
      <c r="B7" t="s">
        <v>971</v>
      </c>
      <c r="C7" t="str">
        <f t="shared" si="0"/>
        <v>B82462G4223M</v>
      </c>
      <c r="D7" s="2" t="s">
        <v>955</v>
      </c>
      <c r="E7" s="2" t="s">
        <v>953</v>
      </c>
      <c r="F7" s="2" t="str">
        <f t="shared" si="1"/>
        <v>Footprints\Inductance\B82462G4.PcbLib</v>
      </c>
      <c r="G7" s="2" t="s">
        <v>972</v>
      </c>
      <c r="H7" s="2" t="str">
        <f t="shared" ref="H7:H14" si="6">CONCATENATE("Footprints\Inductance\",I7,".PcbLib")</f>
        <v>Footprints\Inductance\.PcbLib</v>
      </c>
      <c r="I7" s="2"/>
      <c r="J7" s="2" t="str">
        <f t="shared" ref="J7:J14" si="7">CONCATENATE("Footprints\Inductance\",K7,".PcbLib")</f>
        <v>Footprints\Inductance\.PcbLib</v>
      </c>
      <c r="K7" s="2"/>
      <c r="L7" s="2" t="str">
        <f t="shared" ref="L7:L14" si="8">CONCATENATE("Footprints\Inductance\",M7,".PcbLib")</f>
        <v>Footprints\Inductance\.PcbLib</v>
      </c>
      <c r="M7" s="2"/>
      <c r="N7" s="10">
        <v>22</v>
      </c>
      <c r="O7" s="2" t="s">
        <v>973</v>
      </c>
      <c r="P7" t="str">
        <f t="shared" si="2"/>
        <v>22 мк</v>
      </c>
    </row>
    <row r="8" spans="1:16">
      <c r="A8" t="s">
        <v>974</v>
      </c>
      <c r="B8" t="s">
        <v>975</v>
      </c>
      <c r="C8" t="str">
        <f t="shared" ref="C8" si="9">A8</f>
        <v>CSAB0530-R33M</v>
      </c>
      <c r="D8" s="2" t="s">
        <v>955</v>
      </c>
      <c r="E8" s="2" t="s">
        <v>953</v>
      </c>
      <c r="F8" s="2" t="str">
        <f t="shared" ref="F8" si="10">CONCATENATE("Footprints\Inductance\",G8,".PcbLib")</f>
        <v>Footprints\Inductance\CSAB0530.PcbLib</v>
      </c>
      <c r="G8" s="2" t="s">
        <v>976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0">
        <v>0.33</v>
      </c>
      <c r="O8" s="2">
        <v>15</v>
      </c>
      <c r="P8" t="str">
        <f t="shared" si="2"/>
        <v>0,33 мк</v>
      </c>
    </row>
    <row r="9" spans="1:16">
      <c r="A9" t="s">
        <v>977</v>
      </c>
      <c r="B9" s="2" t="str">
        <f>CONCATENATE("Индуктивность на ",P9,"Гн, номинальный ток ",O9," A")</f>
        <v>Индуктивность на 68 мкГн, номинальный ток 2,65 A</v>
      </c>
      <c r="C9" t="str">
        <f t="shared" ref="C9:C14" si="11">A9</f>
        <v>B82477R4683M100</v>
      </c>
      <c r="D9" s="2" t="s">
        <v>955</v>
      </c>
      <c r="E9" s="2" t="s">
        <v>953</v>
      </c>
      <c r="F9" s="2" t="str">
        <f t="shared" ref="F9:F14" si="12">CONCATENATE("Footprints\Inductance\",G9,".PcbLib")</f>
        <v>Footprints\Inductance\12.5x12.5.PcbLib</v>
      </c>
      <c r="G9" s="2" t="s">
        <v>978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0">
        <v>68</v>
      </c>
      <c r="O9" s="2">
        <v>2.65</v>
      </c>
      <c r="P9" s="2" t="str">
        <f t="shared" si="2"/>
        <v>68 мк</v>
      </c>
    </row>
    <row r="10" spans="1:16">
      <c r="A10" t="s">
        <v>979</v>
      </c>
      <c r="B10" s="2" t="str">
        <f>CONCATENATE("Индуктивность на ",P10,"Гн, номинальный ток ",O10," A")</f>
        <v>Индуктивность на 12 мкГн, номинальный ток 1,05 A</v>
      </c>
      <c r="C10" t="str">
        <f t="shared" si="11"/>
        <v>SDR0403-120ML</v>
      </c>
      <c r="D10" s="2" t="s">
        <v>955</v>
      </c>
      <c r="E10" s="2" t="s">
        <v>953</v>
      </c>
      <c r="F10" s="2" t="str">
        <f t="shared" si="12"/>
        <v>Footprints\Inductance\4.5x4_wired.PcbLib</v>
      </c>
      <c r="G10" s="2" t="s">
        <v>980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0">
        <v>12</v>
      </c>
      <c r="O10">
        <v>1.05</v>
      </c>
      <c r="P10" s="2" t="str">
        <f t="shared" si="2"/>
        <v>12 мк</v>
      </c>
    </row>
    <row r="11" spans="1:16">
      <c r="A11" t="s">
        <v>981</v>
      </c>
      <c r="B11" t="s">
        <v>982</v>
      </c>
      <c r="C11" t="s">
        <v>983</v>
      </c>
      <c r="D11" s="2" t="s">
        <v>984</v>
      </c>
      <c r="E11" s="2" t="s">
        <v>981</v>
      </c>
      <c r="F11" s="2" t="str">
        <f t="shared" si="12"/>
        <v>Footprints\Inductance\M20VN.PcbLib</v>
      </c>
      <c r="G11" s="2" t="s">
        <v>981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0">
        <v>1.2</v>
      </c>
      <c r="O11">
        <v>15</v>
      </c>
      <c r="P11" t="s">
        <v>985</v>
      </c>
    </row>
    <row r="12" spans="1:16">
      <c r="A12" t="s">
        <v>986</v>
      </c>
      <c r="B12" t="s">
        <v>987</v>
      </c>
      <c r="C12" t="str">
        <f t="shared" si="11"/>
        <v>IHLP4040DZER470M11</v>
      </c>
      <c r="D12" s="2" t="s">
        <v>955</v>
      </c>
      <c r="E12" s="2" t="s">
        <v>953</v>
      </c>
      <c r="F12" s="2" t="str">
        <f t="shared" si="12"/>
        <v>Footprints\Inductance\IHLP-4040.PcbLib</v>
      </c>
      <c r="G12" s="2" t="s">
        <v>962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0">
        <v>47</v>
      </c>
      <c r="O12">
        <v>3.3</v>
      </c>
      <c r="P12" s="2" t="str">
        <f t="shared" si="2"/>
        <v>47 мк</v>
      </c>
    </row>
    <row r="13" spans="1:16">
      <c r="A13" t="s">
        <v>988</v>
      </c>
      <c r="B13" t="s">
        <v>989</v>
      </c>
      <c r="C13" t="str">
        <f t="shared" si="11"/>
        <v>IHLP4040DZER101M11</v>
      </c>
      <c r="D13" s="2" t="s">
        <v>955</v>
      </c>
      <c r="E13" s="2" t="s">
        <v>953</v>
      </c>
      <c r="F13" s="2" t="str">
        <f t="shared" si="12"/>
        <v>Footprints\Inductance\IHLP-4040.PcbLib</v>
      </c>
      <c r="G13" s="2" t="s">
        <v>962</v>
      </c>
      <c r="H13" s="2" t="str">
        <f t="shared" si="6"/>
        <v>Footprints\Inductance\.PcbLib</v>
      </c>
      <c r="I13" s="2"/>
      <c r="J13" s="2" t="str">
        <f t="shared" si="7"/>
        <v>Footprints\Inductance\.PcbLib</v>
      </c>
      <c r="K13" s="2"/>
      <c r="L13" s="2" t="str">
        <f t="shared" si="8"/>
        <v>Footprints\Inductance\.PcbLib</v>
      </c>
      <c r="M13" s="2"/>
      <c r="N13" s="10">
        <v>100</v>
      </c>
      <c r="O13">
        <v>3.3</v>
      </c>
      <c r="P13" s="2" t="str">
        <f t="shared" si="2"/>
        <v>100 мк</v>
      </c>
    </row>
    <row r="14" spans="1:16">
      <c r="A14" t="s">
        <v>990</v>
      </c>
      <c r="B14" t="s">
        <v>991</v>
      </c>
      <c r="C14" t="str">
        <f t="shared" si="11"/>
        <v>HV_trans</v>
      </c>
      <c r="D14" s="2" t="s">
        <v>992</v>
      </c>
      <c r="E14" s="2" t="s">
        <v>990</v>
      </c>
      <c r="F14" s="2" t="str">
        <f t="shared" si="12"/>
        <v>Footprints\Inductance\EE16_transformer.PcbLib</v>
      </c>
      <c r="G14" s="2" t="s">
        <v>993</v>
      </c>
      <c r="H14" s="2" t="str">
        <f t="shared" si="6"/>
        <v>Footprints\Inductance\.PcbLib</v>
      </c>
      <c r="I14" s="2"/>
      <c r="J14" s="2" t="str">
        <f t="shared" si="7"/>
        <v>Footprints\Inductance\.PcbLib</v>
      </c>
      <c r="K14" s="2"/>
      <c r="L14" s="2" t="str">
        <f t="shared" si="8"/>
        <v>Footprints\Inductance\.PcbLib</v>
      </c>
      <c r="M14" s="2"/>
      <c r="O14">
        <v>10000</v>
      </c>
      <c r="P14">
        <f>N14</f>
        <v>0</v>
      </c>
    </row>
  </sheetData>
  <pageMargins left="0.7" right="0.7" top="0.75" bottom="0.75" header="0.3" footer="0.3"/>
  <pageSetup paperSize="9" orientation="portrait"/>
  <headerFooter/>
  <ignoredErrors>
    <ignoredError sqref="P3:P4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2"/>
  <sheetViews>
    <sheetView workbookViewId="0">
      <selection activeCell="H15" sqref="H15"/>
    </sheetView>
  </sheetViews>
  <sheetFormatPr defaultColWidth="9" defaultRowHeight="14.4"/>
  <cols>
    <col min="1" max="1" width="14" customWidth="1"/>
    <col min="2" max="2" width="22.4444444444444" customWidth="1"/>
    <col min="3" max="3" width="11" customWidth="1"/>
    <col min="4" max="4" width="34.2222222222222" customWidth="1"/>
    <col min="5" max="5" width="20.6666666666667" customWidth="1"/>
    <col min="6" max="6" width="21.7777777777778" customWidth="1"/>
    <col min="7" max="7" width="17.7777777777778" customWidth="1"/>
    <col min="8" max="8" width="22.8888888888889" customWidth="1"/>
    <col min="9" max="9" width="18.4444444444444" customWidth="1"/>
    <col min="10" max="10" width="16.7777777777778" customWidth="1"/>
    <col min="11" max="11" width="12.3333333333333" customWidth="1"/>
    <col min="12" max="12" width="13.1111111111111" customWidth="1"/>
  </cols>
  <sheetData>
    <row r="1" ht="15.6" spans="1:1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994</v>
      </c>
      <c r="K1" s="1" t="s">
        <v>995</v>
      </c>
      <c r="L1" s="1" t="s">
        <v>11</v>
      </c>
      <c r="M1" s="1"/>
      <c r="N1" s="7"/>
      <c r="O1" s="1"/>
      <c r="P1" s="1"/>
      <c r="Q1" s="1"/>
    </row>
    <row r="2" ht="15.6" spans="1:16">
      <c r="A2" s="4" t="s">
        <v>996</v>
      </c>
      <c r="B2" s="5" t="s">
        <v>997</v>
      </c>
      <c r="C2" s="6" t="str">
        <f>A2</f>
        <v>TS820-600B-TR</v>
      </c>
      <c r="D2" s="5" t="s">
        <v>998</v>
      </c>
      <c r="E2" s="5" t="s">
        <v>999</v>
      </c>
      <c r="F2" s="6" t="str">
        <f t="shared" ref="F2" si="0">CONCATENATE("Footprints\",G2,".PcbLib")</f>
        <v>Footprints\DPAK.PcbLib</v>
      </c>
      <c r="G2" s="5" t="s">
        <v>196</v>
      </c>
      <c r="H2" s="6"/>
      <c r="I2" s="6"/>
      <c r="J2" s="8" t="s">
        <v>1000</v>
      </c>
      <c r="K2" s="9" t="s">
        <v>1001</v>
      </c>
      <c r="L2" s="9"/>
      <c r="M2" s="2"/>
      <c r="N2" s="10"/>
      <c r="O2" s="2"/>
      <c r="P2" s="2"/>
    </row>
    <row r="3" spans="1:16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0"/>
      <c r="O3" s="2"/>
      <c r="P3" s="2"/>
    </row>
    <row r="4" spans="1:16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0"/>
      <c r="O4" s="2"/>
      <c r="P4" s="2"/>
    </row>
    <row r="5" spans="4:15">
      <c r="D5" s="2"/>
      <c r="E5" s="2"/>
      <c r="F5" s="2"/>
      <c r="G5" s="2"/>
      <c r="H5" s="2"/>
      <c r="I5" s="2"/>
      <c r="J5" s="2"/>
      <c r="K5" s="2"/>
      <c r="L5" s="2"/>
      <c r="M5" s="2"/>
      <c r="N5" s="10"/>
      <c r="O5" s="2"/>
    </row>
    <row r="6" spans="4:15">
      <c r="D6" s="2"/>
      <c r="E6" s="2"/>
      <c r="F6" s="2"/>
      <c r="G6" s="2"/>
      <c r="H6" s="2"/>
      <c r="I6" s="2"/>
      <c r="J6" s="2"/>
      <c r="K6" s="2"/>
      <c r="L6" s="2"/>
      <c r="M6" s="2"/>
      <c r="N6" s="10"/>
      <c r="O6" s="2"/>
    </row>
    <row r="7" spans="4:15">
      <c r="D7" s="2"/>
      <c r="E7" s="2"/>
      <c r="F7" s="2"/>
      <c r="G7" s="2"/>
      <c r="H7" s="2"/>
      <c r="I7" s="2"/>
      <c r="J7" s="2"/>
      <c r="K7" s="2"/>
      <c r="L7" s="2"/>
      <c r="M7" s="2"/>
      <c r="N7" s="10"/>
      <c r="O7" s="2"/>
    </row>
    <row r="8" spans="4:15">
      <c r="D8" s="2"/>
      <c r="E8" s="2"/>
      <c r="F8" s="2"/>
      <c r="G8" s="2"/>
      <c r="H8" s="2"/>
      <c r="I8" s="2"/>
      <c r="J8" s="2"/>
      <c r="K8" s="2"/>
      <c r="L8" s="2"/>
      <c r="M8" s="2"/>
      <c r="N8" s="10"/>
      <c r="O8" s="2"/>
    </row>
    <row r="9" spans="2:16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0"/>
      <c r="O9" s="2"/>
      <c r="P9" s="2"/>
    </row>
    <row r="10" spans="2:16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0"/>
      <c r="P10" s="2"/>
    </row>
    <row r="11" spans="4:14">
      <c r="D11" s="2"/>
      <c r="E11" s="2"/>
      <c r="F11" s="2"/>
      <c r="G11" s="2"/>
      <c r="H11" s="2"/>
      <c r="I11" s="2"/>
      <c r="J11" s="2"/>
      <c r="K11" s="2"/>
      <c r="L11" s="2"/>
      <c r="M11" s="2"/>
      <c r="N11" s="10"/>
    </row>
    <row r="12" spans="4:16">
      <c r="D12" s="2"/>
      <c r="E12" s="2"/>
      <c r="F12" s="2"/>
      <c r="G12" s="2"/>
      <c r="H12" s="2"/>
      <c r="I12" s="2"/>
      <c r="J12" s="2"/>
      <c r="K12" s="2"/>
      <c r="L12" s="2"/>
      <c r="M12" s="2"/>
      <c r="N12" s="10"/>
      <c r="P12" s="2"/>
    </row>
    <row r="13" spans="4:16">
      <c r="D13" s="2"/>
      <c r="E13" s="2"/>
      <c r="F13" s="2"/>
      <c r="G13" s="2"/>
      <c r="H13" s="2"/>
      <c r="I13" s="2"/>
      <c r="J13" s="2"/>
      <c r="K13" s="2"/>
      <c r="L13" s="2"/>
      <c r="M13" s="2"/>
      <c r="N13" s="10"/>
      <c r="P13" s="2"/>
    </row>
    <row r="14" spans="4:14">
      <c r="D14" s="2"/>
      <c r="E14" s="2"/>
      <c r="F14" s="2"/>
      <c r="G14" s="2"/>
      <c r="H14" s="2"/>
      <c r="I14" s="2"/>
      <c r="J14" s="2"/>
      <c r="K14" s="2"/>
      <c r="L14" s="2"/>
      <c r="M14" s="2"/>
      <c r="N14" s="10"/>
    </row>
    <row r="22" spans="14:14">
      <c r="N22" s="10"/>
    </row>
  </sheetData>
  <pageMargins left="0.7" right="0.7" top="0.75" bottom="0.75" header="0.3" footer="0.3"/>
  <headerFooter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7"/>
  <dimension ref="A1:T13"/>
  <sheetViews>
    <sheetView workbookViewId="0">
      <selection activeCell="A16" sqref="A16"/>
    </sheetView>
  </sheetViews>
  <sheetFormatPr defaultColWidth="9" defaultRowHeight="14.4"/>
  <cols>
    <col min="1" max="1" width="14.7777777777778" customWidth="1"/>
    <col min="2" max="2" width="15.7777777777778" customWidth="1"/>
    <col min="3" max="3" width="12.5555555555556" customWidth="1"/>
    <col min="4" max="4" width="70.8888888888889" customWidth="1"/>
    <col min="5" max="5" width="12.7777777777778" customWidth="1"/>
    <col min="6" max="6" width="28" customWidth="1"/>
    <col min="7" max="7" width="16.7777777777778" customWidth="1"/>
    <col min="8" max="8" width="20.7777777777778" customWidth="1"/>
    <col min="9" max="9" width="16.7777777777778" customWidth="1"/>
    <col min="10" max="10" width="31.2222222222222" customWidth="1"/>
    <col min="11" max="11" width="17.3333333333333" customWidth="1"/>
    <col min="12" max="12" width="13.4444444444444" customWidth="1"/>
  </cols>
  <sheetData>
    <row r="1" ht="15.6" spans="1:2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N1" s="1"/>
      <c r="O1" s="1"/>
      <c r="P1" s="1"/>
      <c r="Q1" s="1"/>
      <c r="R1" s="1"/>
      <c r="S1" s="1"/>
      <c r="T1" s="1"/>
    </row>
    <row r="2" spans="1:11">
      <c r="A2" s="2" t="s">
        <v>1002</v>
      </c>
      <c r="B2" s="2" t="s">
        <v>1003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1004</v>
      </c>
      <c r="H2" s="2" t="str">
        <f>CONCATENATE("Footprints\Buttons\",I2,".PcbLib")</f>
        <v>Footprints\Buttons\Button_SMD_6x6.PcbLib</v>
      </c>
      <c r="I2" s="2" t="s">
        <v>1005</v>
      </c>
      <c r="J2" s="2"/>
      <c r="K2" s="2"/>
    </row>
    <row r="3" spans="1:11">
      <c r="A3" s="2" t="s">
        <v>1006</v>
      </c>
      <c r="B3" s="2" t="s">
        <v>1007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1008</v>
      </c>
      <c r="H3" s="2"/>
      <c r="I3" s="2"/>
      <c r="J3" s="2"/>
      <c r="K3" s="2"/>
    </row>
    <row r="4" spans="1:11">
      <c r="A4" s="2" t="s">
        <v>1009</v>
      </c>
      <c r="B4" s="2" t="s">
        <v>1010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1011</v>
      </c>
      <c r="H4" s="2"/>
      <c r="I4" s="2"/>
      <c r="J4" s="2"/>
      <c r="K4" s="2"/>
    </row>
    <row r="5" spans="1:11">
      <c r="A5" s="2" t="s">
        <v>1012</v>
      </c>
      <c r="B5" s="2" t="s">
        <v>1013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1014</v>
      </c>
      <c r="H5" s="2"/>
      <c r="I5" s="2"/>
      <c r="J5" s="2"/>
      <c r="K5" s="2"/>
    </row>
    <row r="6" spans="1:11">
      <c r="A6" s="2" t="s">
        <v>1015</v>
      </c>
      <c r="B6" s="2" t="s">
        <v>1016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1017</v>
      </c>
      <c r="H6" s="2" t="str">
        <f t="shared" si="0"/>
        <v>Footprints\1206SB.PcbLib</v>
      </c>
      <c r="I6" s="2" t="s">
        <v>1018</v>
      </c>
      <c r="J6" s="2" t="str">
        <f t="shared" ref="J6" si="1">CONCATENATE("Footprints\",K6,".PcbLib")</f>
        <v>Footprints\0805SB_wide_gap.PcbLib</v>
      </c>
      <c r="K6" s="2" t="s">
        <v>1019</v>
      </c>
    </row>
    <row r="7" spans="1:11">
      <c r="A7" s="2" t="s">
        <v>1020</v>
      </c>
      <c r="B7" s="2" t="s">
        <v>1021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1022</v>
      </c>
      <c r="F7" s="2" t="str">
        <f t="shared" si="0"/>
        <v>Footprints\SOT23-3.PcbLib</v>
      </c>
      <c r="G7" s="2" t="s">
        <v>164</v>
      </c>
      <c r="H7" s="2"/>
      <c r="I7" s="2"/>
      <c r="J7" s="2"/>
      <c r="K7" s="2"/>
    </row>
    <row r="8" spans="1:11">
      <c r="A8" s="2" t="s">
        <v>1023</v>
      </c>
      <c r="B8" s="2" t="s">
        <v>1024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1022</v>
      </c>
      <c r="F8" s="2" t="str">
        <f t="shared" si="0"/>
        <v>Footprints\SOT23-3.PcbLib</v>
      </c>
      <c r="G8" s="2" t="s">
        <v>164</v>
      </c>
      <c r="H8" s="2"/>
      <c r="I8" s="2"/>
      <c r="J8" s="2"/>
      <c r="K8" s="2"/>
    </row>
    <row r="9" spans="1:11">
      <c r="A9" s="2" t="s">
        <v>1025</v>
      </c>
      <c r="B9" s="2" t="s">
        <v>1026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1027</v>
      </c>
      <c r="F9" s="2" t="str">
        <f t="shared" si="0"/>
        <v>Footprints\fuse_20x5_on_clips_FC-M.PcbLib</v>
      </c>
      <c r="G9" s="2" t="s">
        <v>1028</v>
      </c>
      <c r="H9" s="2"/>
      <c r="I9" s="2"/>
      <c r="J9" s="2"/>
      <c r="K9" s="2"/>
    </row>
    <row r="10" spans="1:11">
      <c r="A10" s="2" t="s">
        <v>1029</v>
      </c>
      <c r="B10" s="2" t="s">
        <v>1030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1029</v>
      </c>
      <c r="H10" s="2"/>
      <c r="I10" s="2"/>
      <c r="J10" s="2"/>
      <c r="K10" s="2"/>
    </row>
    <row r="11" spans="1:11">
      <c r="A11" s="2" t="s">
        <v>1031</v>
      </c>
      <c r="B11" s="2" t="s">
        <v>1032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1031</v>
      </c>
      <c r="H11" s="2"/>
      <c r="I11" s="2"/>
      <c r="J11" s="2"/>
      <c r="K11" s="2"/>
    </row>
    <row r="12" spans="1:11">
      <c r="A12" s="2" t="s">
        <v>1033</v>
      </c>
      <c r="B12" s="2" t="s">
        <v>1034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1031</v>
      </c>
      <c r="F12" s="2" t="str">
        <f t="shared" ref="F12" si="4">CONCATENATE("Footprints\",G12,".PcbLib")</f>
        <v>Footprints\cooler3030.PcbLib</v>
      </c>
      <c r="G12" s="2" t="s">
        <v>1033</v>
      </c>
      <c r="H12" s="2"/>
      <c r="I12" s="2"/>
      <c r="J12" s="2"/>
      <c r="K12" s="2"/>
    </row>
    <row r="13" spans="1:11">
      <c r="A13" t="s">
        <v>1035</v>
      </c>
      <c r="B13" t="s">
        <v>1036</v>
      </c>
      <c r="C13" s="2" t="s">
        <v>1035</v>
      </c>
      <c r="D13" s="3" t="s">
        <v>1037</v>
      </c>
      <c r="E13" t="s">
        <v>1035</v>
      </c>
      <c r="F13" s="3" t="s">
        <v>1038</v>
      </c>
      <c r="G13" s="2" t="s">
        <v>1039</v>
      </c>
      <c r="H13" s="2"/>
      <c r="I13" s="2"/>
      <c r="J13" s="2"/>
      <c r="K13" s="2"/>
    </row>
  </sheetData>
  <pageMargins left="0.7" right="0.7" top="0.75" bottom="0.75" header="0.3" footer="0.3"/>
  <headerFooter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8"/>
  <dimension ref="A1:J31"/>
  <sheetViews>
    <sheetView topLeftCell="A13" workbookViewId="0">
      <selection activeCell="B39" sqref="B39"/>
    </sheetView>
  </sheetViews>
  <sheetFormatPr defaultColWidth="9" defaultRowHeight="14.4"/>
  <cols>
    <col min="1" max="1" width="14.7777777777778" customWidth="1"/>
    <col min="2" max="2" width="40.3333333333333" customWidth="1"/>
    <col min="3" max="3" width="13.2222222222222" customWidth="1"/>
    <col min="4" max="4" width="45.7777777777778" customWidth="1"/>
    <col min="5" max="5" width="17.2222222222222" customWidth="1"/>
    <col min="6" max="6" width="44" customWidth="1"/>
    <col min="7" max="7" width="16.7777777777778" customWidth="1"/>
    <col min="8" max="8" width="44.4444444444444" customWidth="1"/>
    <col min="9" max="9" width="23.7777777777778" customWidth="1"/>
    <col min="10" max="10" width="28.7777777777778" customWidth="1"/>
  </cols>
  <sheetData>
    <row r="1" ht="15.6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11</v>
      </c>
    </row>
    <row r="2" spans="1:7">
      <c r="A2" s="2" t="s">
        <v>1040</v>
      </c>
      <c r="B2" s="2" t="s">
        <v>1041</v>
      </c>
      <c r="C2" s="2" t="s">
        <v>1040</v>
      </c>
      <c r="D2" t="s">
        <v>1042</v>
      </c>
      <c r="E2" s="2" t="s">
        <v>1043</v>
      </c>
      <c r="F2" t="s">
        <v>1044</v>
      </c>
      <c r="G2" s="2" t="s">
        <v>1040</v>
      </c>
    </row>
    <row r="3" spans="1:7">
      <c r="A3" s="2" t="s">
        <v>1045</v>
      </c>
      <c r="B3" s="2" t="s">
        <v>1041</v>
      </c>
      <c r="C3" s="2" t="s">
        <v>1045</v>
      </c>
      <c r="D3" t="s">
        <v>1046</v>
      </c>
      <c r="E3" s="2" t="s">
        <v>1047</v>
      </c>
      <c r="F3" t="s">
        <v>1048</v>
      </c>
      <c r="G3" s="2" t="s">
        <v>1045</v>
      </c>
    </row>
    <row r="4" spans="1:7">
      <c r="A4" t="s">
        <v>1049</v>
      </c>
      <c r="B4" t="s">
        <v>1050</v>
      </c>
      <c r="C4" s="2" t="s">
        <v>1049</v>
      </c>
      <c r="D4" t="s">
        <v>1051</v>
      </c>
      <c r="E4" s="2" t="s">
        <v>1052</v>
      </c>
      <c r="F4" t="s">
        <v>1053</v>
      </c>
      <c r="G4" t="s">
        <v>1054</v>
      </c>
    </row>
    <row r="5" spans="1:7">
      <c r="A5" t="s">
        <v>1055</v>
      </c>
      <c r="B5" t="s">
        <v>1056</v>
      </c>
      <c r="C5" s="2" t="s">
        <v>1055</v>
      </c>
      <c r="D5" t="s">
        <v>1057</v>
      </c>
      <c r="E5" s="2" t="s">
        <v>1058</v>
      </c>
      <c r="F5" t="s">
        <v>1059</v>
      </c>
      <c r="G5" t="s">
        <v>1055</v>
      </c>
    </row>
    <row r="6" spans="1:9">
      <c r="A6" t="s">
        <v>1060</v>
      </c>
      <c r="B6" t="s">
        <v>1061</v>
      </c>
      <c r="C6" s="2" t="s">
        <v>1060</v>
      </c>
      <c r="D6" t="s">
        <v>1062</v>
      </c>
      <c r="E6" s="2" t="s">
        <v>1063</v>
      </c>
      <c r="F6" t="s">
        <v>1064</v>
      </c>
      <c r="G6" t="s">
        <v>1060</v>
      </c>
      <c r="H6" t="s">
        <v>1065</v>
      </c>
      <c r="I6" t="s">
        <v>1066</v>
      </c>
    </row>
    <row r="7" spans="1:7">
      <c r="A7" t="s">
        <v>1067</v>
      </c>
      <c r="B7" t="s">
        <v>1068</v>
      </c>
      <c r="C7" s="2" t="s">
        <v>1067</v>
      </c>
      <c r="D7" t="s">
        <v>1069</v>
      </c>
      <c r="E7" s="2" t="s">
        <v>1070</v>
      </c>
      <c r="F7" t="s">
        <v>1071</v>
      </c>
      <c r="G7" t="s">
        <v>1067</v>
      </c>
    </row>
    <row r="8" spans="1:9">
      <c r="A8" t="s">
        <v>1072</v>
      </c>
      <c r="B8" t="s">
        <v>1073</v>
      </c>
      <c r="C8" s="2" t="s">
        <v>1072</v>
      </c>
      <c r="D8" t="s">
        <v>1074</v>
      </c>
      <c r="E8" t="s">
        <v>1075</v>
      </c>
      <c r="F8" t="s">
        <v>1076</v>
      </c>
      <c r="G8" t="s">
        <v>1072</v>
      </c>
      <c r="H8" t="s">
        <v>1077</v>
      </c>
      <c r="I8" t="s">
        <v>1078</v>
      </c>
    </row>
    <row r="9" spans="1:7">
      <c r="A9" t="s">
        <v>1079</v>
      </c>
      <c r="B9" t="s">
        <v>1080</v>
      </c>
      <c r="C9" s="2" t="s">
        <v>1079</v>
      </c>
      <c r="D9" t="s">
        <v>1081</v>
      </c>
      <c r="E9" t="s">
        <v>1082</v>
      </c>
      <c r="F9" t="s">
        <v>1083</v>
      </c>
      <c r="G9" t="s">
        <v>1079</v>
      </c>
    </row>
    <row r="10" spans="1:7">
      <c r="A10" t="s">
        <v>1084</v>
      </c>
      <c r="B10" t="s">
        <v>1085</v>
      </c>
      <c r="C10" s="2" t="s">
        <v>1084</v>
      </c>
      <c r="D10" t="s">
        <v>1074</v>
      </c>
      <c r="E10" t="s">
        <v>1075</v>
      </c>
      <c r="F10" t="s">
        <v>1086</v>
      </c>
      <c r="G10" t="s">
        <v>1084</v>
      </c>
    </row>
    <row r="11" spans="1:7">
      <c r="A11" t="s">
        <v>1087</v>
      </c>
      <c r="B11" t="s">
        <v>1088</v>
      </c>
      <c r="C11" s="2" t="s">
        <v>1087</v>
      </c>
      <c r="D11" t="s">
        <v>1089</v>
      </c>
      <c r="E11" t="s">
        <v>1090</v>
      </c>
      <c r="F11" t="s">
        <v>1091</v>
      </c>
      <c r="G11" t="s">
        <v>1087</v>
      </c>
    </row>
    <row r="12" spans="1:7">
      <c r="A12" t="s">
        <v>1092</v>
      </c>
      <c r="B12" t="s">
        <v>1093</v>
      </c>
      <c r="C12" s="2" t="s">
        <v>1092</v>
      </c>
      <c r="D12" t="s">
        <v>1089</v>
      </c>
      <c r="E12" t="s">
        <v>1090</v>
      </c>
      <c r="F12" t="s">
        <v>1094</v>
      </c>
      <c r="G12" t="s">
        <v>1092</v>
      </c>
    </row>
    <row r="13" spans="1:7">
      <c r="A13" t="s">
        <v>1095</v>
      </c>
      <c r="B13" t="s">
        <v>1096</v>
      </c>
      <c r="C13" s="2"/>
      <c r="D13" t="s">
        <v>1069</v>
      </c>
      <c r="E13" t="s">
        <v>1070</v>
      </c>
      <c r="F13" t="s">
        <v>1097</v>
      </c>
      <c r="G13" t="s">
        <v>1095</v>
      </c>
    </row>
    <row r="14" spans="1:7">
      <c r="A14" t="s">
        <v>1098</v>
      </c>
      <c r="B14" t="s">
        <v>1099</v>
      </c>
      <c r="C14" s="2" t="s">
        <v>1100</v>
      </c>
      <c r="D14" t="s">
        <v>1101</v>
      </c>
      <c r="E14" t="s">
        <v>1100</v>
      </c>
      <c r="F14" t="s">
        <v>1102</v>
      </c>
      <c r="G14" t="s">
        <v>1100</v>
      </c>
    </row>
    <row r="15" spans="1:7">
      <c r="A15" t="s">
        <v>1103</v>
      </c>
      <c r="B15" t="s">
        <v>1104</v>
      </c>
      <c r="C15" s="2" t="s">
        <v>1103</v>
      </c>
      <c r="D15" t="s">
        <v>1105</v>
      </c>
      <c r="E15" t="s">
        <v>1103</v>
      </c>
      <c r="F15" t="s">
        <v>1106</v>
      </c>
      <c r="G15" t="s">
        <v>1103</v>
      </c>
    </row>
    <row r="16" spans="1:7">
      <c r="A16" t="s">
        <v>1107</v>
      </c>
      <c r="B16" t="s">
        <v>1108</v>
      </c>
      <c r="C16" s="2" t="s">
        <v>1109</v>
      </c>
      <c r="D16" t="s">
        <v>1110</v>
      </c>
      <c r="E16" t="s">
        <v>1107</v>
      </c>
      <c r="F16" t="s">
        <v>1111</v>
      </c>
      <c r="G16" t="s">
        <v>1107</v>
      </c>
    </row>
    <row r="17" spans="1:7">
      <c r="A17" t="s">
        <v>1112</v>
      </c>
      <c r="B17" t="s">
        <v>1113</v>
      </c>
      <c r="C17" s="2" t="s">
        <v>1114</v>
      </c>
      <c r="D17" t="s">
        <v>1115</v>
      </c>
      <c r="E17" t="s">
        <v>1112</v>
      </c>
      <c r="F17" t="s">
        <v>1116</v>
      </c>
      <c r="G17" t="s">
        <v>1117</v>
      </c>
    </row>
    <row r="18" spans="1:7">
      <c r="A18" t="s">
        <v>1118</v>
      </c>
      <c r="B18" t="s">
        <v>1119</v>
      </c>
      <c r="C18" s="2" t="s">
        <v>1118</v>
      </c>
      <c r="D18" t="s">
        <v>1042</v>
      </c>
      <c r="E18" t="s">
        <v>1043</v>
      </c>
      <c r="F18" t="s">
        <v>1120</v>
      </c>
      <c r="G18" t="s">
        <v>1118</v>
      </c>
    </row>
    <row r="19" spans="1:7">
      <c r="A19" t="s">
        <v>1121</v>
      </c>
      <c r="B19" t="s">
        <v>1122</v>
      </c>
      <c r="C19" s="2" t="s">
        <v>1123</v>
      </c>
      <c r="D19" t="s">
        <v>1124</v>
      </c>
      <c r="E19" t="s">
        <v>1121</v>
      </c>
      <c r="F19" t="s">
        <v>1125</v>
      </c>
      <c r="G19" t="s">
        <v>1121</v>
      </c>
    </row>
    <row r="20" spans="1:7">
      <c r="A20" t="s">
        <v>1126</v>
      </c>
      <c r="B20" t="s">
        <v>1113</v>
      </c>
      <c r="C20" s="2" t="s">
        <v>1127</v>
      </c>
      <c r="D20" t="s">
        <v>1115</v>
      </c>
      <c r="E20" t="s">
        <v>1112</v>
      </c>
      <c r="F20" t="s">
        <v>1128</v>
      </c>
      <c r="G20" t="s">
        <v>1129</v>
      </c>
    </row>
    <row r="21" spans="1:7">
      <c r="A21" t="s">
        <v>1130</v>
      </c>
      <c r="B21" t="s">
        <v>1131</v>
      </c>
      <c r="C21" s="2" t="s">
        <v>1130</v>
      </c>
      <c r="D21" t="s">
        <v>1062</v>
      </c>
      <c r="E21" t="s">
        <v>1063</v>
      </c>
      <c r="F21" t="s">
        <v>1132</v>
      </c>
      <c r="G21" t="s">
        <v>1130</v>
      </c>
    </row>
    <row r="22" spans="1:7">
      <c r="A22" t="s">
        <v>1133</v>
      </c>
      <c r="B22" t="s">
        <v>1134</v>
      </c>
      <c r="C22" s="2" t="s">
        <v>1133</v>
      </c>
      <c r="D22" t="s">
        <v>1051</v>
      </c>
      <c r="E22" t="s">
        <v>1052</v>
      </c>
      <c r="F22" t="s">
        <v>1135</v>
      </c>
      <c r="G22" t="s">
        <v>1133</v>
      </c>
    </row>
    <row r="23" spans="1:7">
      <c r="A23" t="s">
        <v>1136</v>
      </c>
      <c r="B23" t="s">
        <v>1137</v>
      </c>
      <c r="C23" s="2" t="s">
        <v>1136</v>
      </c>
      <c r="D23" t="s">
        <v>1057</v>
      </c>
      <c r="E23" t="s">
        <v>1058</v>
      </c>
      <c r="F23" t="s">
        <v>1138</v>
      </c>
      <c r="G23" t="s">
        <v>1136</v>
      </c>
    </row>
    <row r="24" spans="1:7">
      <c r="A24" t="s">
        <v>1139</v>
      </c>
      <c r="B24" t="s">
        <v>1140</v>
      </c>
      <c r="C24" s="2" t="s">
        <v>1139</v>
      </c>
      <c r="D24" t="s">
        <v>1062</v>
      </c>
      <c r="E24" t="s">
        <v>1063</v>
      </c>
      <c r="F24" t="s">
        <v>1141</v>
      </c>
      <c r="G24" t="s">
        <v>1139</v>
      </c>
    </row>
    <row r="25" spans="1:7">
      <c r="A25" t="s">
        <v>1142</v>
      </c>
      <c r="B25" t="s">
        <v>1143</v>
      </c>
      <c r="C25" s="2" t="s">
        <v>1142</v>
      </c>
      <c r="D25" t="s">
        <v>1051</v>
      </c>
      <c r="E25" t="s">
        <v>1052</v>
      </c>
      <c r="F25" t="s">
        <v>1144</v>
      </c>
      <c r="G25" t="s">
        <v>1142</v>
      </c>
    </row>
    <row r="26" spans="1:7">
      <c r="A26" t="s">
        <v>1145</v>
      </c>
      <c r="B26" t="s">
        <v>1146</v>
      </c>
      <c r="C26" s="2" t="s">
        <v>1145</v>
      </c>
      <c r="D26" t="s">
        <v>1147</v>
      </c>
      <c r="E26" t="s">
        <v>1148</v>
      </c>
      <c r="F26" t="s">
        <v>1149</v>
      </c>
      <c r="G26" t="s">
        <v>1145</v>
      </c>
    </row>
    <row r="27" spans="1:7">
      <c r="A27" t="s">
        <v>1150</v>
      </c>
      <c r="B27" t="s">
        <v>1151</v>
      </c>
      <c r="C27" s="2" t="s">
        <v>1150</v>
      </c>
      <c r="D27" t="s">
        <v>1074</v>
      </c>
      <c r="E27" s="2" t="s">
        <v>1075</v>
      </c>
      <c r="F27" t="s">
        <v>1053</v>
      </c>
      <c r="G27" t="s">
        <v>1152</v>
      </c>
    </row>
    <row r="28" spans="1:10">
      <c r="A28" t="s">
        <v>1153</v>
      </c>
      <c r="B28" t="s">
        <v>1154</v>
      </c>
      <c r="C28" t="s">
        <v>1153</v>
      </c>
      <c r="D28" t="s">
        <v>1051</v>
      </c>
      <c r="E28" s="2" t="s">
        <v>1052</v>
      </c>
      <c r="F28" t="s">
        <v>1155</v>
      </c>
      <c r="G28" t="s">
        <v>1156</v>
      </c>
      <c r="J28" t="s">
        <v>1157</v>
      </c>
    </row>
    <row r="29" spans="1:10">
      <c r="A29" t="s">
        <v>1158</v>
      </c>
      <c r="B29" t="s">
        <v>1159</v>
      </c>
      <c r="C29" t="s">
        <v>1158</v>
      </c>
      <c r="D29" t="s">
        <v>1074</v>
      </c>
      <c r="E29" s="2" t="s">
        <v>1075</v>
      </c>
      <c r="F29" t="s">
        <v>1155</v>
      </c>
      <c r="G29" t="s">
        <v>1160</v>
      </c>
      <c r="J29" t="s">
        <v>1157</v>
      </c>
    </row>
    <row r="30" spans="1:10">
      <c r="A30" t="s">
        <v>1161</v>
      </c>
      <c r="B30" t="s">
        <v>1162</v>
      </c>
      <c r="C30" t="str">
        <f>Таблица9[[#This Row],[Part Number]]</f>
        <v>PBS-4</v>
      </c>
      <c r="D30" t="s">
        <v>1051</v>
      </c>
      <c r="E30" s="2" t="s">
        <v>1052</v>
      </c>
      <c r="F30" t="s">
        <v>1163</v>
      </c>
      <c r="G30" t="s">
        <v>1164</v>
      </c>
      <c r="J30" t="s">
        <v>1165</v>
      </c>
    </row>
    <row r="31" spans="1:10">
      <c r="A31" t="s">
        <v>1166</v>
      </c>
      <c r="B31" t="s">
        <v>1162</v>
      </c>
      <c r="C31" t="str">
        <f>Таблица9[[#This Row],[Part Number]]</f>
        <v>PBS-2</v>
      </c>
      <c r="D31" t="s">
        <v>1074</v>
      </c>
      <c r="E31" s="2" t="s">
        <v>1075</v>
      </c>
      <c r="F31" t="s">
        <v>1163</v>
      </c>
      <c r="G31" t="s">
        <v>1167</v>
      </c>
      <c r="J31" t="s">
        <v>1165</v>
      </c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LaLex</cp:lastModifiedBy>
  <dcterms:created xsi:type="dcterms:W3CDTF">2015-06-05T18:19:00Z</dcterms:created>
  <dcterms:modified xsi:type="dcterms:W3CDTF">2025-05-21T18:07:43Z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26550EA1E0264427B0326F054A613CDF_12</vt:lpwstr>
  </property>
  <property fmtid="{D5CDD505-2E9C-101B-9397-08002B2CF9AE}" pid="3" name="KSOProductBuildVer">
    <vt:lpwstr>1049-12.2.0.21179</vt:lpwstr>
  </property>
</Properties>
</file>